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unibradfordac-my.sharepoint.com/personal/sppatil_bradford_ac_uk/Documents/Documents/"/>
    </mc:Choice>
  </mc:AlternateContent>
  <xr:revisionPtr revIDLastSave="0" documentId="8_{357B6064-AB81-4994-9525-DAD550F5A75B}" xr6:coauthVersionLast="47" xr6:coauthVersionMax="47" xr10:uidLastSave="{00000000-0000-0000-0000-000000000000}"/>
  <bookViews>
    <workbookView xWindow="-110" yWindow="-110" windowWidth="19420" windowHeight="10300" firstSheet="10" activeTab="10" xr2:uid="{74085858-7220-4FF8-9477-3ECE0DBC1021}"/>
  </bookViews>
  <sheets>
    <sheet name="Cover Sheet" sheetId="9" r:id="rId1"/>
    <sheet name="Check Sheet" sheetId="12" r:id="rId2"/>
    <sheet name="Assumptions" sheetId="10" r:id="rId3"/>
    <sheet name="Financial Statements" sheetId="1" r:id="rId4"/>
    <sheet name="Common Size Statement" sheetId="4" r:id="rId5"/>
    <sheet name="Ratios" sheetId="2" r:id="rId6"/>
    <sheet name="Revenue Analysis" sheetId="3" r:id="rId7"/>
    <sheet name="Profitability Analysis" sheetId="5" r:id="rId8"/>
    <sheet name="Cashflow Analysis" sheetId="6" r:id="rId9"/>
    <sheet name="Key Metrics" sheetId="7" r:id="rId10"/>
    <sheet name="Historical Analysis" sheetId="1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5" i="2" l="1"/>
  <c r="D25" i="2"/>
  <c r="E13" i="6"/>
  <c r="F13" i="6"/>
  <c r="G7" i="5"/>
  <c r="G8" i="5"/>
  <c r="G9" i="5"/>
  <c r="G10" i="5"/>
  <c r="G6" i="5"/>
  <c r="G13" i="3"/>
  <c r="G12" i="3"/>
  <c r="G11" i="3"/>
  <c r="G10" i="3"/>
  <c r="G9" i="3"/>
  <c r="G8" i="3"/>
  <c r="G7" i="3"/>
  <c r="G6" i="3"/>
  <c r="F7" i="12"/>
  <c r="D7" i="12"/>
  <c r="E7" i="12"/>
  <c r="C7" i="12"/>
  <c r="F6" i="12"/>
  <c r="E6" i="12"/>
  <c r="D6" i="12"/>
  <c r="C6" i="12"/>
  <c r="F5" i="12"/>
  <c r="E5" i="12"/>
  <c r="D5" i="12"/>
  <c r="C5" i="12"/>
  <c r="F4" i="12"/>
  <c r="D4" i="12"/>
  <c r="C4" i="12"/>
  <c r="F7" i="6"/>
  <c r="E7" i="6"/>
  <c r="D7" i="6"/>
  <c r="D13" i="6" s="1"/>
  <c r="D6" i="7"/>
  <c r="D9" i="7"/>
  <c r="E10" i="7"/>
  <c r="D10" i="7"/>
  <c r="F8" i="7"/>
  <c r="E8" i="7"/>
  <c r="D8" i="7"/>
  <c r="E7" i="7"/>
  <c r="D7" i="7"/>
  <c r="F16" i="6"/>
  <c r="E16" i="6"/>
  <c r="D16" i="6"/>
  <c r="F15" i="6"/>
  <c r="E15" i="6"/>
  <c r="D15" i="6"/>
  <c r="F14" i="6"/>
  <c r="E14" i="6"/>
  <c r="D14" i="6"/>
  <c r="F12" i="6"/>
  <c r="E12" i="6"/>
  <c r="D12" i="6"/>
  <c r="B16" i="6"/>
  <c r="B15" i="6"/>
  <c r="B14" i="6"/>
  <c r="B13" i="6"/>
  <c r="F10" i="6"/>
  <c r="E10" i="6"/>
  <c r="D10" i="6"/>
  <c r="F9" i="6"/>
  <c r="E9" i="6"/>
  <c r="D9" i="6"/>
  <c r="F8" i="6"/>
  <c r="E8" i="6"/>
  <c r="D8" i="6"/>
  <c r="F6" i="6"/>
  <c r="E6" i="6"/>
  <c r="D6" i="6"/>
  <c r="F10" i="5"/>
  <c r="E10" i="5"/>
  <c r="D10" i="5"/>
  <c r="F9" i="5"/>
  <c r="E9" i="5"/>
  <c r="D9" i="5"/>
  <c r="F6" i="5"/>
  <c r="E6" i="5"/>
  <c r="D6" i="5"/>
  <c r="F13" i="3"/>
  <c r="E13" i="3"/>
  <c r="D13" i="3"/>
  <c r="F12" i="3"/>
  <c r="E12" i="3"/>
  <c r="D12" i="3"/>
  <c r="E11" i="3"/>
  <c r="D11" i="3"/>
  <c r="E10" i="3"/>
  <c r="D10" i="3"/>
  <c r="F9" i="3"/>
  <c r="E9" i="3"/>
  <c r="D9" i="3"/>
  <c r="F8" i="3"/>
  <c r="E8" i="3"/>
  <c r="D8" i="3"/>
  <c r="E7" i="3"/>
  <c r="D7" i="3"/>
  <c r="F6" i="3"/>
  <c r="E6" i="3"/>
  <c r="D6" i="3"/>
  <c r="E68" i="4"/>
  <c r="D68" i="4"/>
  <c r="E67" i="4"/>
  <c r="D67" i="4"/>
  <c r="E66" i="4"/>
  <c r="D66" i="4"/>
  <c r="E65" i="4"/>
  <c r="D65" i="4"/>
  <c r="E64" i="4"/>
  <c r="D64" i="4"/>
  <c r="E63" i="4"/>
  <c r="D63" i="4"/>
  <c r="E62" i="4"/>
  <c r="D62" i="4"/>
  <c r="E61" i="4"/>
  <c r="D61" i="4"/>
  <c r="E60" i="4"/>
  <c r="D60" i="4"/>
  <c r="E59" i="4"/>
  <c r="D59" i="4"/>
  <c r="E58" i="4"/>
  <c r="D58" i="4"/>
  <c r="E57" i="4"/>
  <c r="D57" i="4"/>
  <c r="E56" i="4"/>
  <c r="D56" i="4"/>
  <c r="E55" i="4"/>
  <c r="D55" i="4"/>
  <c r="E54" i="4"/>
  <c r="D54" i="4"/>
  <c r="E53" i="4"/>
  <c r="D53" i="4"/>
  <c r="E52" i="4"/>
  <c r="D52" i="4"/>
  <c r="E51" i="4"/>
  <c r="D51" i="4"/>
  <c r="E50" i="4"/>
  <c r="D50" i="4"/>
  <c r="E49" i="4"/>
  <c r="D49" i="4"/>
  <c r="E48" i="4"/>
  <c r="D48" i="4"/>
  <c r="E47" i="4"/>
  <c r="D47" i="4"/>
  <c r="E46" i="4"/>
  <c r="D46" i="4"/>
  <c r="E45" i="4"/>
  <c r="D45" i="4"/>
  <c r="E44" i="4"/>
  <c r="D44" i="4"/>
  <c r="E43" i="4"/>
  <c r="D43" i="4"/>
  <c r="E42" i="4"/>
  <c r="D42" i="4"/>
  <c r="E41" i="4"/>
  <c r="D41" i="4"/>
  <c r="E40" i="4"/>
  <c r="D40" i="4"/>
  <c r="E39" i="4"/>
  <c r="D39" i="4"/>
  <c r="E38" i="4"/>
  <c r="D38" i="4"/>
  <c r="E37" i="4"/>
  <c r="D37" i="4"/>
  <c r="E36" i="4"/>
  <c r="D36" i="4"/>
  <c r="E35" i="4"/>
  <c r="D35" i="4"/>
  <c r="E34" i="4"/>
  <c r="D34" i="4"/>
  <c r="E33" i="4"/>
  <c r="D33" i="4"/>
  <c r="E32" i="4"/>
  <c r="D32" i="4"/>
  <c r="B68" i="4"/>
  <c r="B66" i="4"/>
  <c r="B65" i="4"/>
  <c r="B64" i="4"/>
  <c r="B63" i="4"/>
  <c r="B62" i="4"/>
  <c r="B60" i="4"/>
  <c r="B59" i="4"/>
  <c r="B58" i="4"/>
  <c r="B57" i="4"/>
  <c r="B56" i="4"/>
  <c r="B54" i="4"/>
  <c r="B53" i="4"/>
  <c r="B52" i="4"/>
  <c r="B51" i="4"/>
  <c r="B50" i="4"/>
  <c r="B49" i="4"/>
  <c r="B48" i="4"/>
  <c r="B46" i="4"/>
  <c r="B44" i="4"/>
  <c r="B43" i="4"/>
  <c r="B42" i="4"/>
  <c r="B41" i="4"/>
  <c r="B40" i="4"/>
  <c r="B38" i="4"/>
  <c r="B37" i="4"/>
  <c r="B36" i="4"/>
  <c r="B35" i="4"/>
  <c r="B34" i="4"/>
  <c r="B33" i="4"/>
  <c r="B32" i="4"/>
  <c r="B31" i="4"/>
  <c r="F27" i="4"/>
  <c r="E27" i="4"/>
  <c r="F26" i="4"/>
  <c r="E26" i="4"/>
  <c r="F25" i="4"/>
  <c r="E25" i="4"/>
  <c r="F24" i="4"/>
  <c r="E24" i="4"/>
  <c r="F23" i="4"/>
  <c r="E23" i="4"/>
  <c r="F21" i="4"/>
  <c r="E21" i="4"/>
  <c r="F20" i="4"/>
  <c r="E20" i="4"/>
  <c r="F19" i="4"/>
  <c r="E19" i="4"/>
  <c r="F16" i="4"/>
  <c r="E16" i="4"/>
  <c r="F15" i="4"/>
  <c r="E15" i="4"/>
  <c r="F14" i="4"/>
  <c r="E14" i="4"/>
  <c r="F13" i="4"/>
  <c r="E13" i="4"/>
  <c r="F10" i="4"/>
  <c r="E10" i="4"/>
  <c r="F9" i="4"/>
  <c r="E9" i="4"/>
  <c r="F8" i="4"/>
  <c r="E8" i="4"/>
  <c r="D27" i="4"/>
  <c r="D26" i="4"/>
  <c r="D25" i="4"/>
  <c r="D24" i="4"/>
  <c r="D23" i="4"/>
  <c r="D21" i="4"/>
  <c r="D20" i="4"/>
  <c r="D19" i="4"/>
  <c r="D16" i="4"/>
  <c r="D15" i="4"/>
  <c r="D14" i="4"/>
  <c r="D13" i="4"/>
  <c r="D9" i="4"/>
  <c r="D8" i="4"/>
  <c r="D10" i="4"/>
  <c r="B27" i="4"/>
  <c r="B26" i="4"/>
  <c r="B25" i="4"/>
  <c r="B24" i="4"/>
  <c r="B23" i="4"/>
  <c r="B21" i="4"/>
  <c r="B20" i="4"/>
  <c r="B19" i="4"/>
  <c r="B18" i="4"/>
  <c r="B16" i="4"/>
  <c r="B15" i="4"/>
  <c r="B14" i="4"/>
  <c r="B13" i="4"/>
  <c r="B12" i="4"/>
  <c r="B10" i="4"/>
  <c r="B9" i="4"/>
  <c r="B8" i="4"/>
  <c r="D16" i="2"/>
  <c r="E32" i="2"/>
  <c r="D32" i="2"/>
  <c r="E35" i="2"/>
  <c r="E33" i="2" s="1"/>
  <c r="D35" i="2"/>
  <c r="D33" i="2" s="1"/>
  <c r="E27" i="2"/>
  <c r="D27" i="2"/>
  <c r="E26" i="2"/>
  <c r="D26" i="2"/>
  <c r="E21" i="2"/>
  <c r="D21" i="2"/>
  <c r="E20" i="2"/>
  <c r="D20" i="2"/>
  <c r="E14" i="2"/>
  <c r="D14" i="2"/>
  <c r="F10" i="2"/>
  <c r="E10" i="2"/>
  <c r="F11" i="2"/>
  <c r="E11" i="2"/>
  <c r="D11" i="2"/>
  <c r="D10" i="2"/>
  <c r="F9" i="2"/>
  <c r="E9" i="2"/>
  <c r="D9" i="2"/>
  <c r="F8" i="2"/>
  <c r="E8" i="2"/>
  <c r="D8" i="2" l="1"/>
  <c r="F4" i="2"/>
  <c r="E4" i="2"/>
  <c r="D4" i="2"/>
</calcChain>
</file>

<file path=xl/sharedStrings.xml><?xml version="1.0" encoding="utf-8"?>
<sst xmlns="http://schemas.openxmlformats.org/spreadsheetml/2006/main" count="506" uniqueCount="191">
  <si>
    <t>Company</t>
  </si>
  <si>
    <t>Apple Inc.</t>
  </si>
  <si>
    <t xml:space="preserve">Ticker </t>
  </si>
  <si>
    <t>AAPL</t>
  </si>
  <si>
    <t>Industry</t>
  </si>
  <si>
    <t>Consumer Electronics</t>
  </si>
  <si>
    <t>Fiscal Years</t>
  </si>
  <si>
    <t>FY2023- FY2025</t>
  </si>
  <si>
    <t>Currency</t>
  </si>
  <si>
    <t>USD ($millions)</t>
  </si>
  <si>
    <t xml:space="preserve">Source </t>
  </si>
  <si>
    <t>Apple 10-K 2025</t>
  </si>
  <si>
    <t>Prepared by</t>
  </si>
  <si>
    <t>Sharayu Patil</t>
  </si>
  <si>
    <t>Version</t>
  </si>
  <si>
    <t>v1.0</t>
  </si>
  <si>
    <t xml:space="preserve">Last Updated </t>
  </si>
  <si>
    <t>28/07/2026</t>
  </si>
  <si>
    <t>Check</t>
  </si>
  <si>
    <t>FY2025</t>
  </si>
  <si>
    <t>FY2024</t>
  </si>
  <si>
    <t>FY2023</t>
  </si>
  <si>
    <t xml:space="preserve">Status </t>
  </si>
  <si>
    <t xml:space="preserve">Balance Sheet </t>
  </si>
  <si>
    <t>Revenue Totals</t>
  </si>
  <si>
    <t>Cash Flow Statement</t>
  </si>
  <si>
    <t>Common Size Revenue</t>
  </si>
  <si>
    <t>Item</t>
  </si>
  <si>
    <t xml:space="preserve">Value </t>
  </si>
  <si>
    <t>Reporting Currency</t>
  </si>
  <si>
    <t xml:space="preserve">Fiscal Year End </t>
  </si>
  <si>
    <t xml:space="preserve">September </t>
  </si>
  <si>
    <t>Years Analysed</t>
  </si>
  <si>
    <t xml:space="preserve">Company </t>
  </si>
  <si>
    <t>Data Source</t>
  </si>
  <si>
    <t>FY2025 Form 10-K</t>
  </si>
  <si>
    <t>Share Price Data</t>
  </si>
  <si>
    <t>Notes</t>
  </si>
  <si>
    <t>Historical Financial Model</t>
  </si>
  <si>
    <t xml:space="preserve">Apple Inc. Financial Statements </t>
  </si>
  <si>
    <t xml:space="preserve">Units </t>
  </si>
  <si>
    <t xml:space="preserve">Income Statement </t>
  </si>
  <si>
    <t>   Products</t>
  </si>
  <si>
    <t>$</t>
  </si>
  <si>
    <t>   Services</t>
  </si>
  <si>
    <t>Total net sales</t>
  </si>
  <si>
    <t/>
  </si>
  <si>
    <t>Cost of sales:</t>
  </si>
  <si>
    <t>Total cost of sales</t>
  </si>
  <si>
    <t>Gross margin</t>
  </si>
  <si>
    <t>Operating expenses:</t>
  </si>
  <si>
    <t>Research and development</t>
  </si>
  <si>
    <t>Selling, general and administrative</t>
  </si>
  <si>
    <t>Total operating expenses</t>
  </si>
  <si>
    <t>Operating income</t>
  </si>
  <si>
    <t>Other income/(expense), net</t>
  </si>
  <si>
    <t>Income before provision for income taxes</t>
  </si>
  <si>
    <t>Provision for income taxes</t>
  </si>
  <si>
    <t>Net income</t>
  </si>
  <si>
    <t>Current assets:</t>
  </si>
  <si>
    <t>Cash and cash equivalents</t>
  </si>
  <si>
    <t>Marketable securities</t>
  </si>
  <si>
    <t>Accounts receivable, net</t>
  </si>
  <si>
    <t>Vendor non-trade receivables</t>
  </si>
  <si>
    <t>Inventories</t>
  </si>
  <si>
    <t>Other current assets</t>
  </si>
  <si>
    <t>Total current assets</t>
  </si>
  <si>
    <t>Non-current assets:</t>
  </si>
  <si>
    <t>Property, plant and equipment, net</t>
  </si>
  <si>
    <t>Other non-current assets</t>
  </si>
  <si>
    <t>Total non-current assets</t>
  </si>
  <si>
    <t>Total assets</t>
  </si>
  <si>
    <t>Current liabilities:</t>
  </si>
  <si>
    <t>Accounts payable</t>
  </si>
  <si>
    <t>Other current liabilities</t>
  </si>
  <si>
    <t>Deferred revenue</t>
  </si>
  <si>
    <t>Commercial paper</t>
  </si>
  <si>
    <t>Term debt</t>
  </si>
  <si>
    <t>Total current liabilities</t>
  </si>
  <si>
    <t>Non-current liabilities:</t>
  </si>
  <si>
    <t>Other non-current liabilities</t>
  </si>
  <si>
    <t>Total non-current liabilities</t>
  </si>
  <si>
    <t>Total liabilities</t>
  </si>
  <si>
    <t>Shareholders’ equity:</t>
  </si>
  <si>
    <t>Common stock and additional paid-in capital</t>
  </si>
  <si>
    <t>Accumulated deficit</t>
  </si>
  <si>
    <t>Accumulated other comprehensive loss</t>
  </si>
  <si>
    <t>Total shareholders’ equity</t>
  </si>
  <si>
    <t>Total liabilities and shareholders’ equity</t>
  </si>
  <si>
    <t xml:space="preserve">Cash Flow Statement </t>
  </si>
  <si>
    <t>Cash, cash equivalents, and restricted cash and cash equivalents, beginning balances</t>
  </si>
  <si>
    <t>Operating activities:</t>
  </si>
  <si>
    <t>Adjustments to reconcile net income to cash generated by operating activities:</t>
  </si>
  <si>
    <t>Depreciation and amortization</t>
  </si>
  <si>
    <t>Share-based compensation expense</t>
  </si>
  <si>
    <t>Other</t>
  </si>
  <si>
    <t>Changes in operating assets and liabilities:</t>
  </si>
  <si>
    <t>Other current and non-current assets</t>
  </si>
  <si>
    <t>Other current and non-current liabilities</t>
  </si>
  <si>
    <t>Cash generated by operating activities</t>
  </si>
  <si>
    <t>Investing activities:</t>
  </si>
  <si>
    <t>Purchases of marketable securities</t>
  </si>
  <si>
    <t>Proceeds from maturities of marketable securities</t>
  </si>
  <si>
    <t>Proceeds from sales of marketable securities</t>
  </si>
  <si>
    <t>Payments for acquisition of PPE</t>
  </si>
  <si>
    <t>Cash generated by investing activities</t>
  </si>
  <si>
    <t>Financing activities:</t>
  </si>
  <si>
    <t>Payments for taxes related to net share settlement of equity awards</t>
  </si>
  <si>
    <t>Payments for dividends and dividend equivalents</t>
  </si>
  <si>
    <t>Repurchases of common stock</t>
  </si>
  <si>
    <t>Proceeds from issuance of term debt, net</t>
  </si>
  <si>
    <t>Repayments of term debt</t>
  </si>
  <si>
    <t>Proceeds from(Repayments of) commercial paper</t>
  </si>
  <si>
    <t>Cash used in financing activities</t>
  </si>
  <si>
    <t>Increase/(Decrease) in cash, cash equivalents, and restricted cash and cash equivalents</t>
  </si>
  <si>
    <t>Cash, cash equivalents, and restricted cash and cash equivalents, ending balances</t>
  </si>
  <si>
    <t xml:space="preserve">Apple Inc.Common Size Statements </t>
  </si>
  <si>
    <t>%</t>
  </si>
  <si>
    <t xml:space="preserve">Apple Inc. Ratios </t>
  </si>
  <si>
    <t>Trend</t>
  </si>
  <si>
    <t xml:space="preserve">Profitability Ratios </t>
  </si>
  <si>
    <t>R to L</t>
  </si>
  <si>
    <t xml:space="preserve">Gross Margin </t>
  </si>
  <si>
    <t xml:space="preserve">Net Margin </t>
  </si>
  <si>
    <t>Operating Cost Margin</t>
  </si>
  <si>
    <t xml:space="preserve">Operating Profit Margin </t>
  </si>
  <si>
    <t>EPS</t>
  </si>
  <si>
    <t xml:space="preserve">P/E Ratio </t>
  </si>
  <si>
    <t>ROCE</t>
  </si>
  <si>
    <t>Average NPM</t>
  </si>
  <si>
    <t xml:space="preserve">Liquidity Ratios </t>
  </si>
  <si>
    <t>Current Ratio</t>
  </si>
  <si>
    <t>Quick Ratio</t>
  </si>
  <si>
    <t>Solvency Ratios</t>
  </si>
  <si>
    <t>Debt to Equit Ratio</t>
  </si>
  <si>
    <t xml:space="preserve">Proprietery Ratio </t>
  </si>
  <si>
    <t>Debt to Total Assets</t>
  </si>
  <si>
    <t xml:space="preserve">Interest Coverage </t>
  </si>
  <si>
    <t>Efficiency Ratios/ Activity Ratios</t>
  </si>
  <si>
    <t xml:space="preserve">Trade Payables turnover </t>
  </si>
  <si>
    <t>Working capital turnover</t>
  </si>
  <si>
    <t xml:space="preserve">Working Capital </t>
  </si>
  <si>
    <t>Apple Inc. Revenue Analysis</t>
  </si>
  <si>
    <t xml:space="preserve">Average </t>
  </si>
  <si>
    <t>Total Revenue</t>
  </si>
  <si>
    <t xml:space="preserve">Revenue Growth </t>
  </si>
  <si>
    <t>Products Revenue</t>
  </si>
  <si>
    <t xml:space="preserve">Services Revenue </t>
  </si>
  <si>
    <t>Products Revenue Growth</t>
  </si>
  <si>
    <t xml:space="preserve">Services Revenue Growth </t>
  </si>
  <si>
    <t>Products as % of revenue</t>
  </si>
  <si>
    <t>Services as % of revenue</t>
  </si>
  <si>
    <t>Apple Inc. Profitability Analysis</t>
  </si>
  <si>
    <t xml:space="preserve">Trend </t>
  </si>
  <si>
    <t xml:space="preserve">Gross margin </t>
  </si>
  <si>
    <t xml:space="preserve">Products Gross Margin </t>
  </si>
  <si>
    <t xml:space="preserve">Services Gross Margin </t>
  </si>
  <si>
    <t xml:space="preserve">Net Profit Margin </t>
  </si>
  <si>
    <t xml:space="preserve">Operating Cash Flow </t>
  </si>
  <si>
    <t>Capital Expenditure</t>
  </si>
  <si>
    <t xml:space="preserve">Free Cash Flow </t>
  </si>
  <si>
    <t xml:space="preserve">Share Repurchase </t>
  </si>
  <si>
    <t xml:space="preserve">Dividends or dividend equivalents </t>
  </si>
  <si>
    <t xml:space="preserve">% of Operating Cash Flow </t>
  </si>
  <si>
    <t>Apple Inc. Key Metrics</t>
  </si>
  <si>
    <t>ROE</t>
  </si>
  <si>
    <t>Net Margin</t>
  </si>
  <si>
    <t xml:space="preserve">Asset Turnover </t>
  </si>
  <si>
    <t xml:space="preserve">Debt/Equity ratio </t>
  </si>
  <si>
    <t>P/E ratio</t>
  </si>
  <si>
    <t>Fiscal Year 2023-2025</t>
  </si>
  <si>
    <t>Metric</t>
  </si>
  <si>
    <t xml:space="preserve">Observation </t>
  </si>
  <si>
    <t xml:space="preserve">Interpretation </t>
  </si>
  <si>
    <t xml:space="preserve">Revenue </t>
  </si>
  <si>
    <t xml:space="preserve">The average revenue growth each year since 2023 is 1.88%. Revenue grew 5.65% from 2023 to 2025. Average product growth was (0.90%), however it still remained 75.65% of revenue. Services grew by 11.81%, and averaged 24.35% of revenue. </t>
  </si>
  <si>
    <t xml:space="preserve">The growth driver remains services, but products accounts as revenue generators. Apple's growth is becoming less dependent on sale of hardware, although it still relies on it for cash inflow. </t>
  </si>
  <si>
    <t>Profitability</t>
  </si>
  <si>
    <t>The average gross margin from 2023 is 45.75%. There's been a decline in the products gross margin, and an increase in services gross margin. NPM has seen a steady rise.</t>
  </si>
  <si>
    <t xml:space="preserve">The profit driver remains services, grossing 73.37% in 3 years. The decline was driven by decrease in the sales of wearable and accessories, signifying that Apple's entire product segment isn't weak. Management did not provide any specific reason, suggesting it was either not considered a material strategic issue or it was outweighed by stronger performance in other areas, particularly services. </t>
  </si>
  <si>
    <t xml:space="preserve">There is a decrease in marketable securities, short and long term, and a decrease in the closing balance of inventory. This offsets the increase in PPE, and other assets in the total. Apple has reduced it's term debt, accumulated deficit, and comprehensive losses, while increasing it's common stock. From a broader lense, the debt % has reduced and the equity % has increased. </t>
  </si>
  <si>
    <t>The company is trying to reduce leverage and increase equity. Reductions in marketable securities are due to reductions in Non-US securities and corporate debt bonds, which could mean company is trying to reduce risk. But that doesn't add up because company increased investment in money market funds. Apple also chose to not disclose any sale or purchase of inventory under accounting regulations, which now does not allow a clear picture of whether the decrease in inventory is due to higher sales, or reduced production.</t>
  </si>
  <si>
    <t xml:space="preserve">Cash Flow </t>
  </si>
  <si>
    <t xml:space="preserve">The cashflow from operating activities has declined compared to the previous year, but this is the segment that generates the maximum cash. Apple uses a lot of cash in financing activities, mainly on repurchase of stock which was 81.37% of its operating cash flow. The comapny also significantly increased cashflow from investing activites, which was mostly a factor of the proceeds from marketable securities and reduced purchase of marketable securities </t>
  </si>
  <si>
    <t xml:space="preserve">Apple records a steady expenditure of stock repurchase over the years. The significant increase in investing activities could be an indication that the company is trying to be more liquid. Proceeds from sale is key cashflow generator. </t>
  </si>
  <si>
    <t>Capital Allocation</t>
  </si>
  <si>
    <t xml:space="preserve">Over the 3 years, Apple's dividends have been stable. However, every year the company buys back a large sum of it's shares. In 2025 it utilised 81.37% of it's operating cash flow to repurchase its stock. Apple also spends a consistent 8% of its revenue on R&amp;D. The company averages 9.77% capital expenditure of its operating cash. </t>
  </si>
  <si>
    <t xml:space="preserve">The company's priority is evidently giving back to it's shareholders and increasing the current value of their shares. It also has a commitment to R&amp;D, focusing on innovation to compete in the industry. </t>
  </si>
  <si>
    <t xml:space="preserve">Efficiency </t>
  </si>
  <si>
    <t>Apple's ROE is 171.42% and the asset turnover ratio is 8.71 times. Although, the working capital turnover ratio is -11.04x in 2025. This is because of the negative working capital.</t>
  </si>
  <si>
    <t xml:space="preserve">Apple seems highly efficient generating return on equity, however this number fails to represent that Apple has a high leverage.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</si>
</sst>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x&quot;"/>
    <numFmt numFmtId="165" formatCode="0.00&quot;days&quot;"/>
  </numFmts>
  <fonts count="15">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11"/>
      <color rgb="FF000000"/>
      <name val="Aptos Narrow"/>
      <family val="2"/>
    </font>
    <font>
      <i/>
      <sz val="11"/>
      <color theme="1"/>
      <name val="Aptos Narrow"/>
      <family val="2"/>
      <scheme val="minor"/>
    </font>
    <font>
      <sz val="11"/>
      <color theme="1"/>
      <name val="Aptos Narrow"/>
      <family val="2"/>
      <scheme val="minor"/>
    </font>
    <font>
      <sz val="11"/>
      <color theme="0"/>
      <name val="Aptos Narrow"/>
      <family val="2"/>
      <scheme val="minor"/>
    </font>
    <font>
      <b/>
      <sz val="16"/>
      <color theme="1"/>
      <name val="Aptos Narrow"/>
      <family val="2"/>
      <scheme val="minor"/>
    </font>
    <font>
      <sz val="14"/>
      <color theme="1"/>
      <name val="Aptos Narrow"/>
      <family val="2"/>
      <scheme val="minor"/>
    </font>
    <font>
      <b/>
      <sz val="12"/>
      <color theme="0"/>
      <name val="Aptos Narrow"/>
      <family val="2"/>
      <scheme val="minor"/>
    </font>
    <font>
      <b/>
      <sz val="14"/>
      <color theme="0"/>
      <name val="Aptos Narrow"/>
      <family val="2"/>
      <scheme val="minor"/>
    </font>
    <font>
      <b/>
      <sz val="18"/>
      <color theme="0"/>
      <name val="Aptos Narrow"/>
      <family val="2"/>
      <scheme val="minor"/>
    </font>
    <font>
      <b/>
      <i/>
      <sz val="11"/>
      <color theme="0"/>
      <name val="Aptos Narrow"/>
      <family val="2"/>
      <scheme val="minor"/>
    </font>
    <font>
      <b/>
      <i/>
      <sz val="11"/>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19">
    <border>
      <left/>
      <right/>
      <top/>
      <bottom/>
      <diagonal/>
    </border>
    <border>
      <left/>
      <right/>
      <top style="thin">
        <color auto="1"/>
      </top>
      <bottom/>
      <diagonal/>
    </border>
    <border>
      <left/>
      <right/>
      <top style="double">
        <color auto="1"/>
      </top>
      <bottom style="double">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double">
        <color auto="1"/>
      </top>
      <bottom style="double">
        <color auto="1"/>
      </bottom>
      <diagonal/>
    </border>
    <border>
      <left/>
      <right style="thin">
        <color auto="1"/>
      </right>
      <top style="double">
        <color auto="1"/>
      </top>
      <bottom style="double">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2">
    <xf numFmtId="0" fontId="0" fillId="0" borderId="0"/>
    <xf numFmtId="9" fontId="6" fillId="0" borderId="0" applyFont="0" applyFill="0" applyBorder="0" applyAlignment="0" applyProtection="0"/>
  </cellStyleXfs>
  <cellXfs count="120">
    <xf numFmtId="0" fontId="0" fillId="0" borderId="0" xfId="0"/>
    <xf numFmtId="0" fontId="1" fillId="2" borderId="0" xfId="0" applyFont="1" applyFill="1" applyAlignment="1">
      <alignment horizontal="center"/>
    </xf>
    <xf numFmtId="16" fontId="1" fillId="2" borderId="0" xfId="0" applyNumberFormat="1" applyFont="1" applyFill="1" applyAlignment="1">
      <alignment horizontal="center"/>
    </xf>
    <xf numFmtId="0" fontId="3" fillId="0" borderId="0" xfId="0" applyFont="1" applyAlignment="1">
      <alignment horizontal="center"/>
    </xf>
    <xf numFmtId="0" fontId="1" fillId="2" borderId="0" xfId="0" applyFont="1" applyFill="1"/>
    <xf numFmtId="3" fontId="0" fillId="0" borderId="0" xfId="0" applyNumberFormat="1"/>
    <xf numFmtId="0" fontId="0" fillId="0" borderId="0" xfId="0" applyAlignment="1">
      <alignment horizontal="left"/>
    </xf>
    <xf numFmtId="0" fontId="1" fillId="2" borderId="3" xfId="0" applyFont="1" applyFill="1" applyBorder="1"/>
    <xf numFmtId="0" fontId="0" fillId="2" borderId="1" xfId="0" applyFill="1" applyBorder="1"/>
    <xf numFmtId="0" fontId="0" fillId="2" borderId="4" xfId="0" applyFill="1" applyBorder="1"/>
    <xf numFmtId="0" fontId="0" fillId="0" borderId="5" xfId="0" applyBorder="1"/>
    <xf numFmtId="0" fontId="0" fillId="0" borderId="6" xfId="0" applyBorder="1"/>
    <xf numFmtId="0" fontId="2" fillId="0" borderId="3" xfId="0" applyFont="1" applyBorder="1"/>
    <xf numFmtId="0" fontId="2" fillId="0" borderId="7" xfId="0" applyFont="1" applyBorder="1"/>
    <xf numFmtId="0" fontId="2" fillId="0" borderId="5" xfId="0" applyFont="1" applyBorder="1"/>
    <xf numFmtId="0" fontId="4" fillId="0" borderId="5" xfId="0" applyFont="1" applyBorder="1"/>
    <xf numFmtId="0" fontId="2" fillId="0" borderId="5" xfId="0" applyFont="1" applyBorder="1" applyAlignment="1">
      <alignment wrapText="1"/>
    </xf>
    <xf numFmtId="0" fontId="5" fillId="0" borderId="5" xfId="0" applyFont="1" applyBorder="1"/>
    <xf numFmtId="0" fontId="0" fillId="0" borderId="5" xfId="0" applyBorder="1" applyAlignment="1">
      <alignment wrapText="1"/>
    </xf>
    <xf numFmtId="0" fontId="2" fillId="0" borderId="3" xfId="0" applyFont="1" applyBorder="1" applyAlignment="1">
      <alignment vertical="center" wrapText="1"/>
    </xf>
    <xf numFmtId="0" fontId="2" fillId="0" borderId="7" xfId="0" applyFont="1" applyBorder="1" applyAlignment="1">
      <alignment wrapText="1"/>
    </xf>
    <xf numFmtId="16" fontId="1" fillId="2" borderId="0" xfId="0" applyNumberFormat="1" applyFont="1" applyFill="1"/>
    <xf numFmtId="0" fontId="1" fillId="0" borderId="0" xfId="0" applyFont="1"/>
    <xf numFmtId="1" fontId="0" fillId="0" borderId="6" xfId="0" applyNumberFormat="1" applyBorder="1"/>
    <xf numFmtId="1" fontId="0" fillId="0" borderId="0" xfId="0" applyNumberFormat="1" applyAlignment="1">
      <alignment horizontal="right"/>
    </xf>
    <xf numFmtId="1" fontId="0" fillId="0" borderId="6" xfId="0" applyNumberFormat="1" applyBorder="1" applyAlignment="1">
      <alignment horizontal="right"/>
    </xf>
    <xf numFmtId="1" fontId="2" fillId="0" borderId="1" xfId="0" applyNumberFormat="1" applyFont="1" applyBorder="1" applyAlignment="1">
      <alignment horizontal="right"/>
    </xf>
    <xf numFmtId="1" fontId="2" fillId="0" borderId="4" xfId="0" applyNumberFormat="1" applyFont="1" applyBorder="1" applyAlignment="1">
      <alignment horizontal="right"/>
    </xf>
    <xf numFmtId="1" fontId="2" fillId="0" borderId="2" xfId="0" applyNumberFormat="1" applyFont="1" applyBorder="1" applyAlignment="1">
      <alignment horizontal="right"/>
    </xf>
    <xf numFmtId="1" fontId="2" fillId="0" borderId="8" xfId="0" applyNumberFormat="1" applyFont="1" applyBorder="1" applyAlignment="1">
      <alignment horizontal="right"/>
    </xf>
    <xf numFmtId="1" fontId="1" fillId="2" borderId="1" xfId="0" applyNumberFormat="1" applyFont="1" applyFill="1" applyBorder="1" applyAlignment="1">
      <alignment horizontal="right"/>
    </xf>
    <xf numFmtId="1" fontId="1" fillId="2" borderId="4" xfId="0" applyNumberFormat="1" applyFont="1" applyFill="1" applyBorder="1" applyAlignment="1">
      <alignment horizontal="right"/>
    </xf>
    <xf numFmtId="1" fontId="2" fillId="0" borderId="0" xfId="0" applyNumberFormat="1" applyFont="1" applyAlignment="1">
      <alignment horizontal="right"/>
    </xf>
    <xf numFmtId="1" fontId="0" fillId="0" borderId="9" xfId="0" applyNumberFormat="1" applyBorder="1" applyAlignment="1">
      <alignment horizontal="right"/>
    </xf>
    <xf numFmtId="1" fontId="2" fillId="0" borderId="6" xfId="0" applyNumberFormat="1" applyFont="1" applyBorder="1" applyAlignment="1">
      <alignment horizontal="right"/>
    </xf>
    <xf numFmtId="1" fontId="2" fillId="0" borderId="1" xfId="0" applyNumberFormat="1" applyFont="1" applyBorder="1" applyAlignment="1">
      <alignment horizontal="right" vertical="center"/>
    </xf>
    <xf numFmtId="1" fontId="2" fillId="0" borderId="4" xfId="0" applyNumberFormat="1" applyFont="1" applyBorder="1" applyAlignment="1">
      <alignment horizontal="right" vertical="center"/>
    </xf>
    <xf numFmtId="10" fontId="0" fillId="0" borderId="0" xfId="1" applyNumberFormat="1" applyFont="1"/>
    <xf numFmtId="0" fontId="5" fillId="0" borderId="0" xfId="0" applyFont="1"/>
    <xf numFmtId="1" fontId="5" fillId="0" borderId="0" xfId="0" applyNumberFormat="1" applyFont="1"/>
    <xf numFmtId="0" fontId="1" fillId="2" borderId="5" xfId="0" applyFont="1" applyFill="1" applyBorder="1"/>
    <xf numFmtId="0" fontId="1" fillId="2" borderId="6" xfId="0" applyFont="1" applyFill="1" applyBorder="1"/>
    <xf numFmtId="0" fontId="0" fillId="0" borderId="10" xfId="0" applyBorder="1"/>
    <xf numFmtId="0" fontId="0" fillId="0" borderId="11" xfId="0" applyBorder="1"/>
    <xf numFmtId="164" fontId="0" fillId="0" borderId="11" xfId="0" applyNumberFormat="1" applyBorder="1"/>
    <xf numFmtId="0" fontId="0" fillId="0" borderId="9" xfId="0" applyBorder="1"/>
    <xf numFmtId="2" fontId="0" fillId="0" borderId="0" xfId="0" applyNumberFormat="1"/>
    <xf numFmtId="10" fontId="0" fillId="0" borderId="0" xfId="1" applyNumberFormat="1" applyFont="1" applyBorder="1"/>
    <xf numFmtId="10" fontId="0" fillId="0" borderId="11" xfId="1" applyNumberFormat="1" applyFont="1" applyBorder="1"/>
    <xf numFmtId="165" fontId="0" fillId="0" borderId="0" xfId="0" applyNumberFormat="1"/>
    <xf numFmtId="0" fontId="0" fillId="2" borderId="0" xfId="0" applyFill="1"/>
    <xf numFmtId="0" fontId="7" fillId="2" borderId="0" xfId="0" applyFont="1" applyFill="1"/>
    <xf numFmtId="10" fontId="2" fillId="0" borderId="1" xfId="1" applyNumberFormat="1" applyFont="1" applyBorder="1"/>
    <xf numFmtId="10" fontId="2" fillId="0" borderId="2" xfId="1" applyNumberFormat="1" applyFont="1" applyBorder="1"/>
    <xf numFmtId="0" fontId="0" fillId="0" borderId="1" xfId="0" applyBorder="1"/>
    <xf numFmtId="10" fontId="2" fillId="0" borderId="12" xfId="1" applyNumberFormat="1" applyFont="1" applyBorder="1"/>
    <xf numFmtId="10" fontId="0" fillId="0" borderId="6" xfId="1" applyNumberFormat="1" applyFont="1" applyBorder="1"/>
    <xf numFmtId="10" fontId="2" fillId="0" borderId="4" xfId="1" applyNumberFormat="1" applyFont="1" applyBorder="1"/>
    <xf numFmtId="10" fontId="0" fillId="0" borderId="0" xfId="0" applyNumberFormat="1"/>
    <xf numFmtId="10" fontId="0" fillId="0" borderId="6" xfId="0" applyNumberFormat="1" applyBorder="1"/>
    <xf numFmtId="10" fontId="2" fillId="0" borderId="0" xfId="1" applyNumberFormat="1" applyFont="1" applyBorder="1"/>
    <xf numFmtId="10" fontId="2" fillId="0" borderId="6" xfId="1" applyNumberFormat="1" applyFont="1" applyBorder="1"/>
    <xf numFmtId="10" fontId="2" fillId="0" borderId="8" xfId="1" applyNumberFormat="1" applyFont="1" applyBorder="1"/>
    <xf numFmtId="0" fontId="0" fillId="0" borderId="4" xfId="0" applyBorder="1"/>
    <xf numFmtId="0" fontId="0" fillId="0" borderId="8" xfId="0" applyBorder="1"/>
    <xf numFmtId="0" fontId="2" fillId="0" borderId="4" xfId="0" applyFont="1" applyBorder="1"/>
    <xf numFmtId="0" fontId="2" fillId="0" borderId="13" xfId="0" applyFont="1" applyBorder="1"/>
    <xf numFmtId="0" fontId="2" fillId="0" borderId="14" xfId="0" applyFont="1" applyBorder="1"/>
    <xf numFmtId="0" fontId="2" fillId="0" borderId="6" xfId="0" applyFont="1" applyBorder="1"/>
    <xf numFmtId="0" fontId="2" fillId="0" borderId="8" xfId="0" applyFont="1" applyBorder="1"/>
    <xf numFmtId="0" fontId="0" fillId="0" borderId="3" xfId="0" applyBorder="1"/>
    <xf numFmtId="1" fontId="2" fillId="0" borderId="0" xfId="0" applyNumberFormat="1" applyFont="1"/>
    <xf numFmtId="1" fontId="0" fillId="0" borderId="0" xfId="0" applyNumberFormat="1"/>
    <xf numFmtId="10" fontId="0" fillId="0" borderId="11" xfId="0" applyNumberFormat="1" applyBorder="1"/>
    <xf numFmtId="10" fontId="2" fillId="0" borderId="11" xfId="1" applyNumberFormat="1" applyFont="1" applyBorder="1"/>
    <xf numFmtId="0" fontId="2" fillId="0" borderId="10" xfId="0" applyFont="1" applyBorder="1"/>
    <xf numFmtId="10" fontId="2" fillId="0" borderId="9" xfId="1" applyNumberFormat="1" applyFont="1" applyBorder="1"/>
    <xf numFmtId="10" fontId="0" fillId="0" borderId="9" xfId="1" applyNumberFormat="1" applyFont="1" applyBorder="1"/>
    <xf numFmtId="0" fontId="8" fillId="3" borderId="0" xfId="0" applyFont="1" applyFill="1"/>
    <xf numFmtId="0" fontId="9" fillId="0" borderId="15" xfId="0" applyFont="1" applyBorder="1"/>
    <xf numFmtId="0" fontId="9" fillId="0" borderId="16" xfId="0" applyFont="1" applyBorder="1"/>
    <xf numFmtId="0" fontId="9" fillId="0" borderId="17" xfId="0" applyFont="1" applyBorder="1"/>
    <xf numFmtId="0" fontId="9" fillId="0" borderId="18" xfId="0" applyFont="1" applyBorder="1"/>
    <xf numFmtId="0" fontId="0" fillId="2" borderId="1" xfId="0" applyFill="1"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2" borderId="0" xfId="0" applyFill="1" applyAlignment="1">
      <alignment horizontal="center"/>
    </xf>
    <xf numFmtId="0" fontId="0" fillId="0" borderId="11" xfId="0" applyBorder="1" applyAlignment="1">
      <alignment horizontal="center"/>
    </xf>
    <xf numFmtId="0" fontId="2" fillId="0" borderId="1" xfId="0" applyFont="1" applyBorder="1" applyAlignment="1">
      <alignment horizontal="center"/>
    </xf>
    <xf numFmtId="0" fontId="2" fillId="0" borderId="0" xfId="0" applyFont="1" applyAlignment="1">
      <alignment horizontal="center"/>
    </xf>
    <xf numFmtId="0" fontId="2" fillId="0" borderId="2" xfId="0" applyFont="1" applyBorder="1" applyAlignment="1">
      <alignment horizontal="center"/>
    </xf>
    <xf numFmtId="0" fontId="1" fillId="2" borderId="1" xfId="0" applyFont="1" applyFill="1" applyBorder="1" applyAlignment="1">
      <alignment horizontal="center"/>
    </xf>
    <xf numFmtId="0" fontId="2" fillId="0" borderId="12" xfId="0" applyFont="1" applyBorder="1" applyAlignment="1">
      <alignment horizontal="center"/>
    </xf>
    <xf numFmtId="164" fontId="4" fillId="0" borderId="0" xfId="0" applyNumberFormat="1" applyFont="1"/>
    <xf numFmtId="164" fontId="0" fillId="0" borderId="0" xfId="0" applyNumberFormat="1"/>
    <xf numFmtId="0" fontId="2" fillId="0" borderId="11" xfId="0" applyFont="1" applyBorder="1" applyAlignment="1">
      <alignment horizontal="center"/>
    </xf>
    <xf numFmtId="164" fontId="0" fillId="0" borderId="9" xfId="0" applyNumberFormat="1" applyBorder="1"/>
    <xf numFmtId="0" fontId="10" fillId="2" borderId="0" xfId="0" applyFont="1" applyFill="1"/>
    <xf numFmtId="0" fontId="11" fillId="2" borderId="0" xfId="0" applyFont="1" applyFill="1"/>
    <xf numFmtId="0" fontId="5" fillId="0" borderId="0" xfId="0" applyFont="1" applyAlignment="1">
      <alignment horizontal="center"/>
    </xf>
    <xf numFmtId="10" fontId="5" fillId="0" borderId="0" xfId="0" applyNumberFormat="1" applyFont="1"/>
    <xf numFmtId="0" fontId="0" fillId="0" borderId="0" xfId="0" applyAlignment="1">
      <alignment wrapText="1"/>
    </xf>
    <xf numFmtId="0" fontId="1" fillId="2" borderId="0" xfId="0" applyFont="1" applyFill="1" applyAlignment="1">
      <alignment horizontal="right"/>
    </xf>
    <xf numFmtId="0" fontId="13" fillId="2" borderId="0" xfId="0" applyFont="1" applyFill="1" applyAlignment="1">
      <alignment horizontal="right"/>
    </xf>
    <xf numFmtId="0" fontId="5" fillId="0" borderId="6" xfId="0" applyFont="1" applyBorder="1"/>
    <xf numFmtId="1" fontId="5" fillId="0" borderId="6" xfId="0" applyNumberFormat="1" applyFont="1" applyBorder="1"/>
    <xf numFmtId="10" fontId="5" fillId="0" borderId="6" xfId="0" applyNumberFormat="1" applyFont="1" applyBorder="1"/>
    <xf numFmtId="10" fontId="5" fillId="0" borderId="9" xfId="0" applyNumberFormat="1" applyFont="1" applyBorder="1"/>
    <xf numFmtId="1" fontId="14" fillId="0" borderId="6" xfId="0" applyNumberFormat="1" applyFont="1" applyBorder="1"/>
    <xf numFmtId="0" fontId="0" fillId="0" borderId="0" xfId="0" applyAlignment="1">
      <alignment vertical="center"/>
    </xf>
    <xf numFmtId="0" fontId="0" fillId="0" borderId="0" xfId="0" applyAlignment="1">
      <alignment vertical="top" wrapText="1"/>
    </xf>
    <xf numFmtId="4" fontId="0" fillId="0" borderId="6" xfId="0" applyNumberFormat="1" applyBorder="1"/>
    <xf numFmtId="4" fontId="0" fillId="0" borderId="9" xfId="0" applyNumberFormat="1" applyBorder="1"/>
    <xf numFmtId="10" fontId="5" fillId="0" borderId="11" xfId="0" applyNumberFormat="1" applyFont="1" applyBorder="1"/>
    <xf numFmtId="10" fontId="0" fillId="0" borderId="4" xfId="1" applyNumberFormat="1" applyFont="1" applyBorder="1"/>
    <xf numFmtId="0" fontId="12" fillId="2" borderId="0" xfId="0" applyFont="1" applyFill="1" applyAlignment="1">
      <alignment horizontal="center"/>
    </xf>
    <xf numFmtId="0" fontId="1" fillId="2" borderId="0" xfId="0" applyFont="1" applyFill="1" applyAlignment="1">
      <alignment horizontal="center"/>
    </xf>
    <xf numFmtId="0" fontId="7" fillId="2" borderId="0" xfId="0" applyFont="1" applyFill="1" applyAlignment="1">
      <alignment horizontal="center"/>
    </xf>
    <xf numFmtId="0" fontId="1" fillId="2" borderId="0" xfId="0" applyFont="1" applyFill="1" applyAlignment="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2E19-49F6-4BD2-9320-35833F4630D4}">
  <dimension ref="B2:C11"/>
  <sheetViews>
    <sheetView showGridLines="0" workbookViewId="0">
      <selection activeCell="E11" sqref="E11"/>
    </sheetView>
  </sheetViews>
  <sheetFormatPr defaultRowHeight="14.45"/>
  <cols>
    <col min="1" max="1" width="2.42578125" customWidth="1"/>
    <col min="2" max="2" width="40.85546875" customWidth="1"/>
    <col min="3" max="3" width="35.28515625" customWidth="1"/>
  </cols>
  <sheetData>
    <row r="2" spans="2:3" ht="21">
      <c r="B2" s="78" t="s">
        <v>0</v>
      </c>
      <c r="C2" s="78" t="s">
        <v>1</v>
      </c>
    </row>
    <row r="3" spans="2:3" ht="18.600000000000001">
      <c r="B3" s="79" t="s">
        <v>2</v>
      </c>
      <c r="C3" s="80" t="s">
        <v>3</v>
      </c>
    </row>
    <row r="4" spans="2:3" ht="18.600000000000001">
      <c r="B4" s="79" t="s">
        <v>4</v>
      </c>
      <c r="C4" s="80" t="s">
        <v>5</v>
      </c>
    </row>
    <row r="5" spans="2:3" ht="18.600000000000001">
      <c r="B5" s="79" t="s">
        <v>6</v>
      </c>
      <c r="C5" s="80" t="s">
        <v>7</v>
      </c>
    </row>
    <row r="6" spans="2:3" ht="18.600000000000001">
      <c r="B6" s="79" t="s">
        <v>8</v>
      </c>
      <c r="C6" s="80" t="s">
        <v>9</v>
      </c>
    </row>
    <row r="7" spans="2:3" ht="18.600000000000001">
      <c r="B7" s="79" t="s">
        <v>10</v>
      </c>
      <c r="C7" s="80" t="s">
        <v>11</v>
      </c>
    </row>
    <row r="8" spans="2:3" ht="18.600000000000001">
      <c r="B8" s="79" t="s">
        <v>12</v>
      </c>
      <c r="C8" s="80" t="s">
        <v>13</v>
      </c>
    </row>
    <row r="9" spans="2:3" ht="18.600000000000001">
      <c r="B9" s="79" t="s">
        <v>14</v>
      </c>
      <c r="C9" s="80" t="s">
        <v>15</v>
      </c>
    </row>
    <row r="10" spans="2:3" ht="18.600000000000001">
      <c r="B10" s="79" t="s">
        <v>16</v>
      </c>
      <c r="C10" s="80" t="s">
        <v>17</v>
      </c>
    </row>
    <row r="11" spans="2:3" ht="18.95" thickBot="1">
      <c r="B11" s="81"/>
      <c r="C11" s="8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C11DA-B4F4-493F-A533-4797092E5614}">
  <dimension ref="B2:F7"/>
  <sheetViews>
    <sheetView workbookViewId="0">
      <selection activeCell="B10" sqref="B10"/>
    </sheetView>
  </sheetViews>
  <sheetFormatPr defaultRowHeight="14.45"/>
  <cols>
    <col min="1" max="1" width="2.42578125" customWidth="1"/>
    <col min="2" max="2" width="22.42578125" customWidth="1"/>
    <col min="3" max="3" width="16.7109375" customWidth="1"/>
    <col min="4" max="4" width="15.5703125" customWidth="1"/>
    <col min="5" max="5" width="14.5703125" customWidth="1"/>
    <col min="6" max="6" width="13.140625" customWidth="1"/>
  </cols>
  <sheetData>
    <row r="2" spans="2:6" ht="15.95">
      <c r="B2" s="98" t="s">
        <v>18</v>
      </c>
      <c r="C2" s="98" t="s">
        <v>19</v>
      </c>
      <c r="D2" s="98" t="s">
        <v>20</v>
      </c>
      <c r="E2" s="98" t="s">
        <v>21</v>
      </c>
      <c r="F2" s="98" t="s">
        <v>22</v>
      </c>
    </row>
    <row r="3" spans="2:6">
      <c r="B3" s="10"/>
      <c r="F3" s="11"/>
    </row>
    <row r="4" spans="2:6">
      <c r="B4" s="10" t="s">
        <v>23</v>
      </c>
      <c r="C4" s="72">
        <f>'Financial Statements'!D46-'Financial Statements'!D68</f>
        <v>0</v>
      </c>
      <c r="D4" s="72">
        <f>'Financial Statements'!E46-'Financial Statements'!E68</f>
        <v>0</v>
      </c>
      <c r="F4" s="11" t="str">
        <f>IF(AND(C4=0,D4=0),"PASS","FAIL")</f>
        <v>PASS</v>
      </c>
    </row>
    <row r="5" spans="2:6">
      <c r="B5" s="10" t="s">
        <v>24</v>
      </c>
      <c r="C5" s="72">
        <f>'Financial Statements'!D10-('Financial Statements'!D8+'Financial Statements'!D9)</f>
        <v>0</v>
      </c>
      <c r="D5" s="72">
        <f>'Financial Statements'!E10-('Financial Statements'!E8+'Financial Statements'!E9)</f>
        <v>0</v>
      </c>
      <c r="E5" s="72">
        <f>'Financial Statements'!F10-('Financial Statements'!F8+'Financial Statements'!F9)</f>
        <v>0</v>
      </c>
      <c r="F5" s="11" t="str">
        <f>IF(AND(C5=0,D5=0,E5=0),"PASS","FAIL")</f>
        <v>PASS</v>
      </c>
    </row>
    <row r="6" spans="2:6">
      <c r="B6" s="10" t="s">
        <v>25</v>
      </c>
      <c r="C6" s="72">
        <f>'Financial Statements'!D72+('Financial Statements'!D90+'Financial Statements'!D100+'Financial Statements'!D112)-'Financial Statements'!D116</f>
        <v>0</v>
      </c>
      <c r="D6" s="72">
        <f>'Financial Statements'!E72+('Financial Statements'!E90+'Financial Statements'!E100+'Financial Statements'!E112)-'Financial Statements'!E116</f>
        <v>0</v>
      </c>
      <c r="E6" s="72">
        <f>'Financial Statements'!F72+('Financial Statements'!F90+'Financial Statements'!F100+'Financial Statements'!F112)-'Financial Statements'!F116</f>
        <v>0</v>
      </c>
      <c r="F6" s="11" t="str">
        <f>IF(AND(C6=0,D6=0,E6=0),"PASS","FAIL")</f>
        <v>PASS</v>
      </c>
    </row>
    <row r="7" spans="2:6">
      <c r="B7" s="42" t="s">
        <v>26</v>
      </c>
      <c r="C7" s="43">
        <f>'Common Size Statement'!D10-('Common Size Statement'!D9+'Common Size Statement'!D8)</f>
        <v>0</v>
      </c>
      <c r="D7" s="43">
        <f>'Common Size Statement'!E10-('Common Size Statement'!E9+'Common Size Statement'!E8)</f>
        <v>0</v>
      </c>
      <c r="E7" s="43">
        <f>'Common Size Statement'!F10-('Common Size Statement'!F9+'Common Size Statement'!F8)</f>
        <v>0</v>
      </c>
      <c r="F7" s="45" t="str">
        <f>IF(AND(C7=0,D7=0,E7=0),"PASS","FAIL")</f>
        <v>PASS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90BF1-7230-4A2D-9EA3-D621971B1D91}">
  <dimension ref="B2:C10"/>
  <sheetViews>
    <sheetView workbookViewId="0">
      <selection activeCell="C10" sqref="C10"/>
    </sheetView>
  </sheetViews>
  <sheetFormatPr defaultRowHeight="14.45"/>
  <cols>
    <col min="1" max="1" width="2.5703125" customWidth="1"/>
    <col min="2" max="2" width="18.7109375" customWidth="1"/>
    <col min="3" max="3" width="23.140625" customWidth="1"/>
  </cols>
  <sheetData>
    <row r="2" spans="2:3">
      <c r="B2" s="4" t="s">
        <v>27</v>
      </c>
      <c r="C2" s="4" t="s">
        <v>28</v>
      </c>
    </row>
    <row r="3" spans="2:3">
      <c r="B3" s="22"/>
      <c r="C3" s="22"/>
    </row>
    <row r="4" spans="2:3">
      <c r="B4" t="s">
        <v>29</v>
      </c>
      <c r="C4" t="s">
        <v>9</v>
      </c>
    </row>
    <row r="5" spans="2:3">
      <c r="B5" t="s">
        <v>30</v>
      </c>
      <c r="C5" t="s">
        <v>31</v>
      </c>
    </row>
    <row r="6" spans="2:3">
      <c r="B6" t="s">
        <v>32</v>
      </c>
      <c r="C6" t="s">
        <v>7</v>
      </c>
    </row>
    <row r="7" spans="2:3">
      <c r="B7" t="s">
        <v>33</v>
      </c>
      <c r="C7" t="s">
        <v>1</v>
      </c>
    </row>
    <row r="8" spans="2:3">
      <c r="B8" t="s">
        <v>34</v>
      </c>
      <c r="C8" t="s">
        <v>35</v>
      </c>
    </row>
    <row r="9" spans="2:3">
      <c r="B9" t="s">
        <v>36</v>
      </c>
    </row>
    <row r="10" spans="2:3">
      <c r="B10" t="s">
        <v>37</v>
      </c>
      <c r="C10"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83CFF-0C40-4EB8-939E-9E45EA3047A7}">
  <dimension ref="B1:G118"/>
  <sheetViews>
    <sheetView zoomScaleNormal="100" workbookViewId="0">
      <pane xSplit="1" ySplit="4" topLeftCell="B57" activePane="bottomRight" state="frozen"/>
      <selection pane="bottomRight" activeCell="J108" sqref="J108"/>
      <selection pane="bottomLeft" activeCell="A5" sqref="A5"/>
      <selection pane="topRight" activeCell="B1" sqref="B1"/>
    </sheetView>
  </sheetViews>
  <sheetFormatPr defaultRowHeight="14.45"/>
  <cols>
    <col min="1" max="1" width="2.140625" customWidth="1"/>
    <col min="2" max="2" width="42.85546875" customWidth="1"/>
    <col min="3" max="3" width="6.140625" customWidth="1"/>
    <col min="4" max="4" width="13.5703125" customWidth="1"/>
    <col min="5" max="5" width="13.42578125" customWidth="1"/>
    <col min="6" max="6" width="11.85546875" customWidth="1"/>
    <col min="7" max="7" width="9.5703125" customWidth="1"/>
  </cols>
  <sheetData>
    <row r="1" spans="2:7">
      <c r="B1" s="1"/>
      <c r="C1" s="1"/>
      <c r="D1" s="1"/>
      <c r="E1" s="1"/>
      <c r="F1" s="1"/>
      <c r="G1" s="3"/>
    </row>
    <row r="2" spans="2:7">
      <c r="B2" s="117" t="s">
        <v>39</v>
      </c>
      <c r="C2" s="117"/>
      <c r="D2" s="117"/>
      <c r="E2" s="117"/>
      <c r="F2" s="117"/>
      <c r="G2" s="3"/>
    </row>
    <row r="3" spans="2:7">
      <c r="B3" s="1"/>
      <c r="C3" s="1"/>
      <c r="D3" s="1"/>
      <c r="E3" s="1"/>
      <c r="F3" s="1"/>
      <c r="G3" s="3"/>
    </row>
    <row r="4" spans="2:7">
      <c r="B4" s="1"/>
      <c r="C4" s="1" t="s">
        <v>40</v>
      </c>
      <c r="D4" s="2">
        <v>46290</v>
      </c>
      <c r="E4" s="2">
        <v>46289</v>
      </c>
      <c r="F4" s="2">
        <v>46288</v>
      </c>
      <c r="G4" s="3"/>
    </row>
    <row r="5" spans="2:7">
      <c r="F5" s="11"/>
    </row>
    <row r="6" spans="2:7">
      <c r="B6" s="7" t="s">
        <v>41</v>
      </c>
      <c r="C6" s="83"/>
      <c r="D6" s="8"/>
      <c r="E6" s="8"/>
      <c r="F6" s="9"/>
    </row>
    <row r="7" spans="2:7">
      <c r="B7" s="10"/>
      <c r="C7" s="84"/>
      <c r="F7" s="11"/>
    </row>
    <row r="8" spans="2:7">
      <c r="B8" s="10" t="s">
        <v>42</v>
      </c>
      <c r="C8" s="84" t="s">
        <v>43</v>
      </c>
      <c r="D8" s="24">
        <v>307003</v>
      </c>
      <c r="E8" s="24">
        <v>294866</v>
      </c>
      <c r="F8" s="25">
        <v>298085</v>
      </c>
    </row>
    <row r="9" spans="2:7">
      <c r="B9" s="10" t="s">
        <v>44</v>
      </c>
      <c r="C9" s="84" t="s">
        <v>43</v>
      </c>
      <c r="D9" s="24">
        <v>109158</v>
      </c>
      <c r="E9" s="24">
        <v>96169</v>
      </c>
      <c r="F9" s="25">
        <v>85200</v>
      </c>
    </row>
    <row r="10" spans="2:7">
      <c r="B10" s="12" t="s">
        <v>45</v>
      </c>
      <c r="C10" s="85" t="s">
        <v>43</v>
      </c>
      <c r="D10" s="26">
        <v>416161</v>
      </c>
      <c r="E10" s="26">
        <v>391035</v>
      </c>
      <c r="F10" s="27">
        <v>383285</v>
      </c>
    </row>
    <row r="11" spans="2:7">
      <c r="B11" s="10"/>
      <c r="C11" s="84"/>
      <c r="D11" s="24" t="s">
        <v>46</v>
      </c>
      <c r="E11" s="24" t="s">
        <v>46</v>
      </c>
      <c r="F11" s="25" t="s">
        <v>46</v>
      </c>
    </row>
    <row r="12" spans="2:7">
      <c r="B12" s="10" t="s">
        <v>47</v>
      </c>
      <c r="C12" s="84"/>
      <c r="D12" s="24" t="s">
        <v>46</v>
      </c>
      <c r="E12" s="24" t="s">
        <v>46</v>
      </c>
      <c r="F12" s="25" t="s">
        <v>46</v>
      </c>
    </row>
    <row r="13" spans="2:7">
      <c r="B13" s="10" t="s">
        <v>42</v>
      </c>
      <c r="C13" s="84" t="s">
        <v>43</v>
      </c>
      <c r="D13" s="24">
        <v>194116</v>
      </c>
      <c r="E13" s="24">
        <v>185233</v>
      </c>
      <c r="F13" s="25">
        <v>189282</v>
      </c>
    </row>
    <row r="14" spans="2:7">
      <c r="B14" s="10" t="s">
        <v>44</v>
      </c>
      <c r="C14" s="84" t="s">
        <v>43</v>
      </c>
      <c r="D14" s="24">
        <v>26844</v>
      </c>
      <c r="E14" s="24">
        <v>25119</v>
      </c>
      <c r="F14" s="25">
        <v>24855</v>
      </c>
    </row>
    <row r="15" spans="2:7">
      <c r="B15" s="10" t="s">
        <v>48</v>
      </c>
      <c r="C15" s="84" t="s">
        <v>43</v>
      </c>
      <c r="D15" s="24">
        <v>220960</v>
      </c>
      <c r="E15" s="24">
        <v>210352</v>
      </c>
      <c r="F15" s="25">
        <v>214137</v>
      </c>
    </row>
    <row r="16" spans="2:7">
      <c r="B16" s="12" t="s">
        <v>49</v>
      </c>
      <c r="C16" s="85" t="s">
        <v>43</v>
      </c>
      <c r="D16" s="26">
        <v>195201</v>
      </c>
      <c r="E16" s="26">
        <v>180683</v>
      </c>
      <c r="F16" s="27">
        <v>169148</v>
      </c>
    </row>
    <row r="17" spans="2:7">
      <c r="B17" s="10"/>
      <c r="C17" s="84"/>
      <c r="D17" s="24" t="s">
        <v>46</v>
      </c>
      <c r="E17" s="24" t="s">
        <v>46</v>
      </c>
      <c r="F17" s="25" t="s">
        <v>46</v>
      </c>
    </row>
    <row r="18" spans="2:7">
      <c r="B18" s="10" t="s">
        <v>50</v>
      </c>
      <c r="C18" s="84"/>
      <c r="D18" s="24" t="s">
        <v>46</v>
      </c>
      <c r="E18" s="24" t="s">
        <v>46</v>
      </c>
      <c r="F18" s="25" t="s">
        <v>46</v>
      </c>
    </row>
    <row r="19" spans="2:7">
      <c r="B19" s="10" t="s">
        <v>51</v>
      </c>
      <c r="C19" s="84" t="s">
        <v>43</v>
      </c>
      <c r="D19" s="24">
        <v>34550</v>
      </c>
      <c r="E19" s="24">
        <v>31370</v>
      </c>
      <c r="F19" s="25">
        <v>29915</v>
      </c>
    </row>
    <row r="20" spans="2:7">
      <c r="B20" s="10" t="s">
        <v>52</v>
      </c>
      <c r="C20" s="84" t="s">
        <v>43</v>
      </c>
      <c r="D20" s="24">
        <v>27601</v>
      </c>
      <c r="E20" s="24">
        <v>26097</v>
      </c>
      <c r="F20" s="25">
        <v>24932</v>
      </c>
    </row>
    <row r="21" spans="2:7">
      <c r="B21" s="10" t="s">
        <v>53</v>
      </c>
      <c r="C21" s="84" t="s">
        <v>43</v>
      </c>
      <c r="D21" s="24">
        <v>62151</v>
      </c>
      <c r="E21" s="24">
        <v>57467</v>
      </c>
      <c r="F21" s="25">
        <v>54847</v>
      </c>
    </row>
    <row r="22" spans="2:7">
      <c r="B22" s="10"/>
      <c r="C22" s="84"/>
      <c r="D22" s="24" t="s">
        <v>46</v>
      </c>
      <c r="E22" s="24" t="s">
        <v>46</v>
      </c>
      <c r="F22" s="25" t="s">
        <v>46</v>
      </c>
    </row>
    <row r="23" spans="2:7">
      <c r="B23" s="10" t="s">
        <v>54</v>
      </c>
      <c r="C23" s="84" t="s">
        <v>43</v>
      </c>
      <c r="D23" s="24">
        <v>133050</v>
      </c>
      <c r="E23" s="24">
        <v>123216</v>
      </c>
      <c r="F23" s="25">
        <v>114301</v>
      </c>
    </row>
    <row r="24" spans="2:7">
      <c r="B24" s="10" t="s">
        <v>55</v>
      </c>
      <c r="C24" s="84" t="s">
        <v>43</v>
      </c>
      <c r="D24" s="24">
        <v>-321</v>
      </c>
      <c r="E24" s="24">
        <v>269</v>
      </c>
      <c r="F24" s="25">
        <v>-565</v>
      </c>
    </row>
    <row r="25" spans="2:7">
      <c r="B25" s="10" t="s">
        <v>56</v>
      </c>
      <c r="C25" s="84" t="s">
        <v>43</v>
      </c>
      <c r="D25" s="24">
        <v>132729</v>
      </c>
      <c r="E25" s="24">
        <v>123485</v>
      </c>
      <c r="F25" s="25">
        <v>113736</v>
      </c>
    </row>
    <row r="26" spans="2:7" ht="15" thickBot="1">
      <c r="B26" s="10" t="s">
        <v>57</v>
      </c>
      <c r="C26" s="84" t="s">
        <v>43</v>
      </c>
      <c r="D26" s="24">
        <v>20719</v>
      </c>
      <c r="E26" s="24">
        <v>29749</v>
      </c>
      <c r="F26" s="25">
        <v>16741</v>
      </c>
    </row>
    <row r="27" spans="2:7" ht="15.6" thickTop="1" thickBot="1">
      <c r="B27" s="13" t="s">
        <v>58</v>
      </c>
      <c r="C27" s="86" t="s">
        <v>43</v>
      </c>
      <c r="D27" s="28">
        <v>112010</v>
      </c>
      <c r="E27" s="28">
        <v>93736</v>
      </c>
      <c r="F27" s="29">
        <v>96995</v>
      </c>
    </row>
    <row r="28" spans="2:7" ht="15" thickTop="1">
      <c r="C28" s="84"/>
      <c r="D28" s="24" t="s">
        <v>46</v>
      </c>
      <c r="E28" s="24" t="s">
        <v>46</v>
      </c>
      <c r="F28" s="25" t="s">
        <v>46</v>
      </c>
      <c r="G28" s="5"/>
    </row>
    <row r="29" spans="2:7">
      <c r="B29" s="7" t="s">
        <v>23</v>
      </c>
      <c r="C29" s="87"/>
      <c r="D29" s="30" t="s">
        <v>46</v>
      </c>
      <c r="E29" s="30" t="s">
        <v>46</v>
      </c>
      <c r="F29" s="31" t="s">
        <v>46</v>
      </c>
    </row>
    <row r="30" spans="2:7">
      <c r="B30" s="10"/>
      <c r="C30" s="84"/>
      <c r="D30" s="24" t="s">
        <v>46</v>
      </c>
      <c r="E30" s="24" t="s">
        <v>46</v>
      </c>
      <c r="F30" s="25" t="s">
        <v>46</v>
      </c>
    </row>
    <row r="31" spans="2:7">
      <c r="B31" s="10" t="s">
        <v>59</v>
      </c>
      <c r="C31" s="84"/>
      <c r="D31" s="24" t="s">
        <v>46</v>
      </c>
      <c r="E31" s="24" t="s">
        <v>46</v>
      </c>
      <c r="F31" s="25" t="s">
        <v>46</v>
      </c>
    </row>
    <row r="32" spans="2:7">
      <c r="B32" s="10" t="s">
        <v>60</v>
      </c>
      <c r="C32" s="84" t="s">
        <v>43</v>
      </c>
      <c r="D32" s="24">
        <v>35934</v>
      </c>
      <c r="E32" s="24">
        <v>29943</v>
      </c>
      <c r="F32" s="25" t="s">
        <v>46</v>
      </c>
    </row>
    <row r="33" spans="2:6">
      <c r="B33" s="10" t="s">
        <v>61</v>
      </c>
      <c r="C33" s="84" t="s">
        <v>43</v>
      </c>
      <c r="D33" s="24">
        <v>18763</v>
      </c>
      <c r="E33" s="24">
        <v>35228</v>
      </c>
      <c r="F33" s="25" t="s">
        <v>46</v>
      </c>
    </row>
    <row r="34" spans="2:6">
      <c r="B34" s="10" t="s">
        <v>62</v>
      </c>
      <c r="C34" s="84" t="s">
        <v>43</v>
      </c>
      <c r="D34" s="24">
        <v>39777</v>
      </c>
      <c r="E34" s="24">
        <v>33410</v>
      </c>
      <c r="F34" s="25" t="s">
        <v>46</v>
      </c>
    </row>
    <row r="35" spans="2:6">
      <c r="B35" s="10" t="s">
        <v>63</v>
      </c>
      <c r="C35" s="84" t="s">
        <v>43</v>
      </c>
      <c r="D35" s="24">
        <v>33180</v>
      </c>
      <c r="E35" s="24">
        <v>32833</v>
      </c>
      <c r="F35" s="25" t="s">
        <v>46</v>
      </c>
    </row>
    <row r="36" spans="2:6">
      <c r="B36" s="10" t="s">
        <v>64</v>
      </c>
      <c r="C36" s="84" t="s">
        <v>43</v>
      </c>
      <c r="D36" s="24">
        <v>5718</v>
      </c>
      <c r="E36" s="24">
        <v>7286</v>
      </c>
      <c r="F36" s="25" t="s">
        <v>46</v>
      </c>
    </row>
    <row r="37" spans="2:6">
      <c r="B37" s="10" t="s">
        <v>65</v>
      </c>
      <c r="C37" s="84" t="s">
        <v>43</v>
      </c>
      <c r="D37" s="24">
        <v>14585</v>
      </c>
      <c r="E37" s="24">
        <v>14287</v>
      </c>
      <c r="F37" s="25" t="s">
        <v>46</v>
      </c>
    </row>
    <row r="38" spans="2:6">
      <c r="B38" s="12" t="s">
        <v>66</v>
      </c>
      <c r="C38" s="85" t="s">
        <v>43</v>
      </c>
      <c r="D38" s="26">
        <v>147957</v>
      </c>
      <c r="E38" s="26">
        <v>152987</v>
      </c>
      <c r="F38" s="25" t="s">
        <v>46</v>
      </c>
    </row>
    <row r="39" spans="2:6">
      <c r="B39" s="10"/>
      <c r="C39" s="84"/>
      <c r="D39" s="24" t="s">
        <v>46</v>
      </c>
      <c r="E39" s="24" t="s">
        <v>46</v>
      </c>
      <c r="F39" s="25" t="s">
        <v>46</v>
      </c>
    </row>
    <row r="40" spans="2:6">
      <c r="B40" s="10" t="s">
        <v>67</v>
      </c>
      <c r="C40" s="84"/>
      <c r="D40" s="24" t="s">
        <v>46</v>
      </c>
      <c r="E40" s="24" t="s">
        <v>46</v>
      </c>
      <c r="F40" s="25" t="s">
        <v>46</v>
      </c>
    </row>
    <row r="41" spans="2:6">
      <c r="B41" s="10" t="s">
        <v>61</v>
      </c>
      <c r="C41" s="84" t="s">
        <v>43</v>
      </c>
      <c r="D41" s="24">
        <v>77723</v>
      </c>
      <c r="E41" s="24">
        <v>91479</v>
      </c>
      <c r="F41" s="25" t="s">
        <v>46</v>
      </c>
    </row>
    <row r="42" spans="2:6">
      <c r="B42" s="10" t="s">
        <v>68</v>
      </c>
      <c r="C42" s="84" t="s">
        <v>43</v>
      </c>
      <c r="D42" s="24">
        <v>49834</v>
      </c>
      <c r="E42" s="24">
        <v>45680</v>
      </c>
      <c r="F42" s="25" t="s">
        <v>46</v>
      </c>
    </row>
    <row r="43" spans="2:6">
      <c r="B43" s="10" t="s">
        <v>69</v>
      </c>
      <c r="C43" s="84" t="s">
        <v>43</v>
      </c>
      <c r="D43" s="24">
        <v>83727</v>
      </c>
      <c r="E43" s="24">
        <v>74834</v>
      </c>
      <c r="F43" s="25" t="s">
        <v>46</v>
      </c>
    </row>
    <row r="44" spans="2:6">
      <c r="B44" s="12" t="s">
        <v>70</v>
      </c>
      <c r="C44" s="85" t="s">
        <v>43</v>
      </c>
      <c r="D44" s="26">
        <v>211284</v>
      </c>
      <c r="E44" s="26">
        <v>211993</v>
      </c>
      <c r="F44" s="25" t="s">
        <v>46</v>
      </c>
    </row>
    <row r="45" spans="2:6" ht="15" thickBot="1">
      <c r="B45" s="14"/>
      <c r="C45" s="84"/>
      <c r="D45" s="32" t="s">
        <v>46</v>
      </c>
      <c r="E45" s="32" t="s">
        <v>46</v>
      </c>
      <c r="F45" s="25" t="s">
        <v>46</v>
      </c>
    </row>
    <row r="46" spans="2:6" ht="15.6" thickTop="1" thickBot="1">
      <c r="B46" s="13" t="s">
        <v>71</v>
      </c>
      <c r="C46" s="86" t="s">
        <v>43</v>
      </c>
      <c r="D46" s="28">
        <v>359241</v>
      </c>
      <c r="E46" s="28">
        <v>364980</v>
      </c>
      <c r="F46" s="25" t="s">
        <v>46</v>
      </c>
    </row>
    <row r="47" spans="2:6" ht="15" thickTop="1">
      <c r="B47" s="10"/>
      <c r="C47" s="84"/>
      <c r="D47" s="24" t="s">
        <v>46</v>
      </c>
      <c r="E47" s="24" t="s">
        <v>46</v>
      </c>
      <c r="F47" s="25" t="s">
        <v>46</v>
      </c>
    </row>
    <row r="48" spans="2:6">
      <c r="B48" s="10" t="s">
        <v>72</v>
      </c>
      <c r="C48" s="84"/>
      <c r="D48" s="24" t="s">
        <v>46</v>
      </c>
      <c r="E48" s="24" t="s">
        <v>46</v>
      </c>
      <c r="F48" s="25" t="s">
        <v>46</v>
      </c>
    </row>
    <row r="49" spans="2:6">
      <c r="B49" s="10" t="s">
        <v>73</v>
      </c>
      <c r="C49" s="84" t="s">
        <v>43</v>
      </c>
      <c r="D49" s="24">
        <v>69860</v>
      </c>
      <c r="E49" s="24">
        <v>68960</v>
      </c>
      <c r="F49" s="25" t="s">
        <v>46</v>
      </c>
    </row>
    <row r="50" spans="2:6">
      <c r="B50" s="10" t="s">
        <v>74</v>
      </c>
      <c r="C50" s="84" t="s">
        <v>43</v>
      </c>
      <c r="D50" s="24">
        <v>66387</v>
      </c>
      <c r="E50" s="24">
        <v>78304</v>
      </c>
      <c r="F50" s="25" t="s">
        <v>46</v>
      </c>
    </row>
    <row r="51" spans="2:6">
      <c r="B51" s="10" t="s">
        <v>75</v>
      </c>
      <c r="C51" s="84" t="s">
        <v>43</v>
      </c>
      <c r="D51" s="24">
        <v>9055</v>
      </c>
      <c r="E51" s="24">
        <v>8249</v>
      </c>
      <c r="F51" s="25" t="s">
        <v>46</v>
      </c>
    </row>
    <row r="52" spans="2:6">
      <c r="B52" s="10" t="s">
        <v>76</v>
      </c>
      <c r="C52" s="84" t="s">
        <v>43</v>
      </c>
      <c r="D52" s="24">
        <v>7979</v>
      </c>
      <c r="E52" s="24">
        <v>9967</v>
      </c>
      <c r="F52" s="25" t="s">
        <v>46</v>
      </c>
    </row>
    <row r="53" spans="2:6">
      <c r="B53" s="10" t="s">
        <v>77</v>
      </c>
      <c r="C53" s="84" t="s">
        <v>43</v>
      </c>
      <c r="D53" s="24">
        <v>12350</v>
      </c>
      <c r="E53" s="24">
        <v>10912</v>
      </c>
      <c r="F53" s="25" t="s">
        <v>46</v>
      </c>
    </row>
    <row r="54" spans="2:6">
      <c r="B54" s="12" t="s">
        <v>78</v>
      </c>
      <c r="C54" s="85" t="s">
        <v>43</v>
      </c>
      <c r="D54" s="26">
        <v>165631</v>
      </c>
      <c r="E54" s="26">
        <v>176392</v>
      </c>
      <c r="F54" s="25" t="s">
        <v>46</v>
      </c>
    </row>
    <row r="55" spans="2:6">
      <c r="B55" s="10"/>
      <c r="C55" s="84"/>
      <c r="D55" s="24" t="s">
        <v>46</v>
      </c>
      <c r="E55" s="24" t="s">
        <v>46</v>
      </c>
      <c r="F55" s="25" t="s">
        <v>46</v>
      </c>
    </row>
    <row r="56" spans="2:6">
      <c r="B56" s="10" t="s">
        <v>79</v>
      </c>
      <c r="C56" s="84"/>
      <c r="D56" s="24" t="s">
        <v>46</v>
      </c>
      <c r="E56" s="24" t="s">
        <v>46</v>
      </c>
      <c r="F56" s="25" t="s">
        <v>46</v>
      </c>
    </row>
    <row r="57" spans="2:6">
      <c r="B57" s="10" t="s">
        <v>77</v>
      </c>
      <c r="C57" s="84" t="s">
        <v>43</v>
      </c>
      <c r="D57" s="24">
        <v>78328</v>
      </c>
      <c r="E57" s="24">
        <v>85750</v>
      </c>
      <c r="F57" s="25" t="s">
        <v>46</v>
      </c>
    </row>
    <row r="58" spans="2:6">
      <c r="B58" s="10" t="s">
        <v>80</v>
      </c>
      <c r="C58" s="84" t="s">
        <v>43</v>
      </c>
      <c r="D58" s="24">
        <v>41549</v>
      </c>
      <c r="E58" s="24">
        <v>45888</v>
      </c>
      <c r="F58" s="25" t="s">
        <v>46</v>
      </c>
    </row>
    <row r="59" spans="2:6">
      <c r="B59" s="10" t="s">
        <v>81</v>
      </c>
      <c r="C59" s="84" t="s">
        <v>43</v>
      </c>
      <c r="D59" s="24">
        <v>119877</v>
      </c>
      <c r="E59" s="24">
        <v>131638</v>
      </c>
      <c r="F59" s="25" t="s">
        <v>46</v>
      </c>
    </row>
    <row r="60" spans="2:6">
      <c r="B60" s="12" t="s">
        <v>82</v>
      </c>
      <c r="C60" s="85" t="s">
        <v>43</v>
      </c>
      <c r="D60" s="26">
        <v>285508</v>
      </c>
      <c r="E60" s="26">
        <v>308030</v>
      </c>
      <c r="F60" s="25" t="s">
        <v>46</v>
      </c>
    </row>
    <row r="61" spans="2:6">
      <c r="B61" s="10"/>
      <c r="C61" s="84"/>
      <c r="D61" s="24" t="s">
        <v>46</v>
      </c>
      <c r="E61" s="24" t="s">
        <v>46</v>
      </c>
      <c r="F61" s="25" t="s">
        <v>46</v>
      </c>
    </row>
    <row r="62" spans="2:6">
      <c r="B62" s="10" t="s">
        <v>83</v>
      </c>
      <c r="C62" s="84"/>
      <c r="D62" s="24" t="s">
        <v>46</v>
      </c>
      <c r="E62" s="24" t="s">
        <v>46</v>
      </c>
      <c r="F62" s="25" t="s">
        <v>46</v>
      </c>
    </row>
    <row r="63" spans="2:6">
      <c r="B63" s="15" t="s">
        <v>84</v>
      </c>
      <c r="C63" s="84" t="s">
        <v>43</v>
      </c>
      <c r="D63" s="24">
        <v>93568</v>
      </c>
      <c r="E63" s="24">
        <v>83276</v>
      </c>
      <c r="F63" s="25" t="s">
        <v>46</v>
      </c>
    </row>
    <row r="64" spans="2:6">
      <c r="B64" s="10" t="s">
        <v>85</v>
      </c>
      <c r="C64" s="84" t="s">
        <v>43</v>
      </c>
      <c r="D64" s="24">
        <v>-14264</v>
      </c>
      <c r="E64" s="24">
        <v>-19154</v>
      </c>
      <c r="F64" s="25" t="s">
        <v>46</v>
      </c>
    </row>
    <row r="65" spans="2:6">
      <c r="B65" s="10" t="s">
        <v>86</v>
      </c>
      <c r="C65" s="84" t="s">
        <v>43</v>
      </c>
      <c r="D65" s="24">
        <v>-5571</v>
      </c>
      <c r="E65" s="24">
        <v>-7172</v>
      </c>
      <c r="F65" s="25" t="s">
        <v>46</v>
      </c>
    </row>
    <row r="66" spans="2:6">
      <c r="B66" s="12" t="s">
        <v>87</v>
      </c>
      <c r="C66" s="85" t="s">
        <v>43</v>
      </c>
      <c r="D66" s="26">
        <v>73733</v>
      </c>
      <c r="E66" s="26">
        <v>56950</v>
      </c>
      <c r="F66" s="25" t="s">
        <v>46</v>
      </c>
    </row>
    <row r="67" spans="2:6" ht="15" thickBot="1">
      <c r="B67" s="10"/>
      <c r="C67" s="84"/>
      <c r="D67" s="24" t="s">
        <v>46</v>
      </c>
      <c r="E67" s="24" t="s">
        <v>46</v>
      </c>
      <c r="F67" s="25" t="s">
        <v>46</v>
      </c>
    </row>
    <row r="68" spans="2:6" ht="15.6" thickTop="1" thickBot="1">
      <c r="B68" s="13" t="s">
        <v>88</v>
      </c>
      <c r="C68" s="86" t="s">
        <v>43</v>
      </c>
      <c r="D68" s="28">
        <v>359241</v>
      </c>
      <c r="E68" s="28">
        <v>364980</v>
      </c>
      <c r="F68" s="33" t="s">
        <v>46</v>
      </c>
    </row>
    <row r="69" spans="2:6" ht="15" thickTop="1">
      <c r="C69" s="84"/>
      <c r="D69" s="24" t="s">
        <v>46</v>
      </c>
      <c r="E69" s="24" t="s">
        <v>46</v>
      </c>
      <c r="F69" s="25" t="s">
        <v>46</v>
      </c>
    </row>
    <row r="70" spans="2:6">
      <c r="B70" s="7" t="s">
        <v>89</v>
      </c>
      <c r="C70" s="87"/>
      <c r="D70" s="30" t="s">
        <v>46</v>
      </c>
      <c r="E70" s="30" t="s">
        <v>46</v>
      </c>
      <c r="F70" s="31" t="s">
        <v>46</v>
      </c>
    </row>
    <row r="71" spans="2:6">
      <c r="B71" s="10"/>
      <c r="C71" s="84"/>
      <c r="D71" s="24" t="s">
        <v>46</v>
      </c>
      <c r="E71" s="24" t="s">
        <v>46</v>
      </c>
      <c r="F71" s="25" t="s">
        <v>46</v>
      </c>
    </row>
    <row r="72" spans="2:6" ht="29.1">
      <c r="B72" s="16" t="s">
        <v>90</v>
      </c>
      <c r="C72" s="84" t="s">
        <v>43</v>
      </c>
      <c r="D72" s="32">
        <v>29943</v>
      </c>
      <c r="E72" s="32">
        <v>30737</v>
      </c>
      <c r="F72" s="34">
        <v>24977</v>
      </c>
    </row>
    <row r="73" spans="2:6">
      <c r="B73" s="10"/>
      <c r="C73" s="84"/>
      <c r="D73" s="24" t="s">
        <v>46</v>
      </c>
      <c r="E73" s="24" t="s">
        <v>46</v>
      </c>
      <c r="F73" s="25" t="s">
        <v>46</v>
      </c>
    </row>
    <row r="74" spans="2:6">
      <c r="B74" s="17" t="s">
        <v>91</v>
      </c>
      <c r="C74" s="84"/>
      <c r="D74" s="24" t="s">
        <v>46</v>
      </c>
      <c r="E74" s="24" t="s">
        <v>46</v>
      </c>
      <c r="F74" s="25" t="s">
        <v>46</v>
      </c>
    </row>
    <row r="75" spans="2:6">
      <c r="B75" s="10"/>
      <c r="C75" s="84"/>
      <c r="D75" s="24" t="s">
        <v>46</v>
      </c>
      <c r="E75" s="24" t="s">
        <v>46</v>
      </c>
      <c r="F75" s="25" t="s">
        <v>46</v>
      </c>
    </row>
    <row r="76" spans="2:6">
      <c r="B76" s="10" t="s">
        <v>58</v>
      </c>
      <c r="C76" s="84" t="s">
        <v>43</v>
      </c>
      <c r="D76" s="24">
        <v>112010</v>
      </c>
      <c r="E76" s="24">
        <v>93736</v>
      </c>
      <c r="F76" s="25">
        <v>96995</v>
      </c>
    </row>
    <row r="77" spans="2:6" ht="29.1">
      <c r="B77" s="18" t="s">
        <v>92</v>
      </c>
      <c r="C77" s="84" t="s">
        <v>43</v>
      </c>
      <c r="D77" s="24" t="s">
        <v>46</v>
      </c>
      <c r="E77" s="24" t="s">
        <v>46</v>
      </c>
      <c r="F77" s="25" t="s">
        <v>46</v>
      </c>
    </row>
    <row r="78" spans="2:6">
      <c r="B78" s="10" t="s">
        <v>93</v>
      </c>
      <c r="C78" s="84" t="s">
        <v>43</v>
      </c>
      <c r="D78" s="24">
        <v>11698</v>
      </c>
      <c r="E78" s="24">
        <v>11445</v>
      </c>
      <c r="F78" s="25">
        <v>11519</v>
      </c>
    </row>
    <row r="79" spans="2:6">
      <c r="B79" s="10" t="s">
        <v>94</v>
      </c>
      <c r="C79" s="84" t="s">
        <v>43</v>
      </c>
      <c r="D79" s="24">
        <v>12863</v>
      </c>
      <c r="E79" s="24">
        <v>11688</v>
      </c>
      <c r="F79" s="25">
        <v>10833</v>
      </c>
    </row>
    <row r="80" spans="2:6">
      <c r="B80" s="10" t="s">
        <v>95</v>
      </c>
      <c r="C80" s="84" t="s">
        <v>43</v>
      </c>
      <c r="D80" s="24">
        <v>-89</v>
      </c>
      <c r="E80" s="24">
        <v>-2266</v>
      </c>
      <c r="F80" s="25">
        <v>-2227</v>
      </c>
    </row>
    <row r="81" spans="2:6">
      <c r="B81" s="10"/>
      <c r="C81" s="84"/>
      <c r="D81" s="24" t="s">
        <v>46</v>
      </c>
      <c r="E81" s="24" t="s">
        <v>46</v>
      </c>
      <c r="F81" s="25" t="s">
        <v>46</v>
      </c>
    </row>
    <row r="82" spans="2:6">
      <c r="B82" s="10" t="s">
        <v>96</v>
      </c>
      <c r="C82" s="84"/>
      <c r="D82" s="24" t="s">
        <v>46</v>
      </c>
      <c r="E82" s="24" t="s">
        <v>46</v>
      </c>
      <c r="F82" s="25" t="s">
        <v>46</v>
      </c>
    </row>
    <row r="83" spans="2:6">
      <c r="B83" s="10" t="s">
        <v>62</v>
      </c>
      <c r="C83" s="84" t="s">
        <v>43</v>
      </c>
      <c r="D83" s="24">
        <v>-6682</v>
      </c>
      <c r="E83" s="24">
        <v>-3788</v>
      </c>
      <c r="F83" s="25">
        <v>-1688</v>
      </c>
    </row>
    <row r="84" spans="2:6">
      <c r="B84" s="10" t="s">
        <v>63</v>
      </c>
      <c r="C84" s="84" t="s">
        <v>43</v>
      </c>
      <c r="D84" s="24">
        <v>-347</v>
      </c>
      <c r="E84" s="24">
        <v>-1356</v>
      </c>
      <c r="F84" s="25">
        <v>1271</v>
      </c>
    </row>
    <row r="85" spans="2:6">
      <c r="B85" s="10" t="s">
        <v>64</v>
      </c>
      <c r="C85" s="84" t="s">
        <v>43</v>
      </c>
      <c r="D85" s="24">
        <v>1400</v>
      </c>
      <c r="E85" s="24">
        <v>-1046</v>
      </c>
      <c r="F85" s="25">
        <v>-1618</v>
      </c>
    </row>
    <row r="86" spans="2:6">
      <c r="B86" s="10" t="s">
        <v>97</v>
      </c>
      <c r="C86" s="84" t="s">
        <v>43</v>
      </c>
      <c r="D86" s="24">
        <v>-9197</v>
      </c>
      <c r="E86" s="24">
        <v>-11731</v>
      </c>
      <c r="F86" s="25">
        <v>-5684</v>
      </c>
    </row>
    <row r="87" spans="2:6">
      <c r="B87" s="10" t="s">
        <v>73</v>
      </c>
      <c r="C87" s="84" t="s">
        <v>43</v>
      </c>
      <c r="D87" s="24">
        <v>902</v>
      </c>
      <c r="E87" s="24">
        <v>6020</v>
      </c>
      <c r="F87" s="25">
        <v>-1889</v>
      </c>
    </row>
    <row r="88" spans="2:6">
      <c r="B88" s="10" t="s">
        <v>98</v>
      </c>
      <c r="C88" s="84" t="s">
        <v>43</v>
      </c>
      <c r="D88" s="24">
        <v>-11076</v>
      </c>
      <c r="E88" s="24">
        <v>15552</v>
      </c>
      <c r="F88" s="25">
        <v>3031</v>
      </c>
    </row>
    <row r="89" spans="2:6">
      <c r="B89" s="10"/>
      <c r="C89" s="84"/>
      <c r="D89" s="24" t="s">
        <v>46</v>
      </c>
      <c r="E89" s="24" t="s">
        <v>46</v>
      </c>
      <c r="F89" s="25" t="s">
        <v>46</v>
      </c>
    </row>
    <row r="90" spans="2:6">
      <c r="B90" s="12" t="s">
        <v>99</v>
      </c>
      <c r="C90" s="85"/>
      <c r="D90" s="26">
        <v>111482</v>
      </c>
      <c r="E90" s="26">
        <v>118254</v>
      </c>
      <c r="F90" s="27">
        <v>110543</v>
      </c>
    </row>
    <row r="91" spans="2:6">
      <c r="B91" s="10"/>
      <c r="C91" s="84"/>
      <c r="D91" s="24" t="s">
        <v>46</v>
      </c>
      <c r="E91" s="24" t="s">
        <v>46</v>
      </c>
      <c r="F91" s="25" t="s">
        <v>46</v>
      </c>
    </row>
    <row r="92" spans="2:6">
      <c r="B92" s="17" t="s">
        <v>100</v>
      </c>
      <c r="C92" s="84"/>
      <c r="D92" s="24" t="s">
        <v>46</v>
      </c>
      <c r="E92" s="24" t="s">
        <v>46</v>
      </c>
      <c r="F92" s="25" t="s">
        <v>46</v>
      </c>
    </row>
    <row r="93" spans="2:6">
      <c r="B93" s="10"/>
      <c r="C93" s="84"/>
      <c r="D93" s="24" t="s">
        <v>46</v>
      </c>
      <c r="E93" s="24" t="s">
        <v>46</v>
      </c>
      <c r="F93" s="25" t="s">
        <v>46</v>
      </c>
    </row>
    <row r="94" spans="2:6">
      <c r="B94" s="10" t="s">
        <v>101</v>
      </c>
      <c r="C94" s="84" t="s">
        <v>43</v>
      </c>
      <c r="D94" s="24">
        <v>-24407</v>
      </c>
      <c r="E94" s="24">
        <v>-48656</v>
      </c>
      <c r="F94" s="25">
        <v>-29513</v>
      </c>
    </row>
    <row r="95" spans="2:6">
      <c r="B95" s="10" t="s">
        <v>102</v>
      </c>
      <c r="C95" s="84" t="s">
        <v>43</v>
      </c>
      <c r="D95" s="24">
        <v>40907</v>
      </c>
      <c r="E95" s="24">
        <v>51211</v>
      </c>
      <c r="F95" s="25">
        <v>39686</v>
      </c>
    </row>
    <row r="96" spans="2:6">
      <c r="B96" s="10" t="s">
        <v>103</v>
      </c>
      <c r="C96" s="84" t="s">
        <v>43</v>
      </c>
      <c r="D96" s="24">
        <v>12890</v>
      </c>
      <c r="E96" s="24">
        <v>11135</v>
      </c>
      <c r="F96" s="25">
        <v>5828</v>
      </c>
    </row>
    <row r="97" spans="2:6">
      <c r="B97" s="10" t="s">
        <v>104</v>
      </c>
      <c r="C97" s="84" t="s">
        <v>43</v>
      </c>
      <c r="D97" s="24">
        <v>-12715</v>
      </c>
      <c r="E97" s="24">
        <v>-9447</v>
      </c>
      <c r="F97" s="25">
        <v>-10959</v>
      </c>
    </row>
    <row r="98" spans="2:6">
      <c r="B98" s="10" t="s">
        <v>95</v>
      </c>
      <c r="C98" s="84" t="s">
        <v>43</v>
      </c>
      <c r="D98" s="24">
        <v>-1480</v>
      </c>
      <c r="E98" s="24">
        <v>-1308</v>
      </c>
      <c r="F98" s="25">
        <v>-1337</v>
      </c>
    </row>
    <row r="99" spans="2:6">
      <c r="B99" s="10"/>
      <c r="C99" s="84"/>
      <c r="D99" s="24" t="s">
        <v>46</v>
      </c>
      <c r="E99" s="24" t="s">
        <v>46</v>
      </c>
      <c r="F99" s="25" t="s">
        <v>46</v>
      </c>
    </row>
    <row r="100" spans="2:6">
      <c r="B100" s="12" t="s">
        <v>105</v>
      </c>
      <c r="C100" s="85"/>
      <c r="D100" s="26">
        <v>15195</v>
      </c>
      <c r="E100" s="26">
        <v>2935</v>
      </c>
      <c r="F100" s="27">
        <v>3705</v>
      </c>
    </row>
    <row r="101" spans="2:6">
      <c r="B101" s="10"/>
      <c r="C101" s="84"/>
      <c r="D101" s="24" t="s">
        <v>46</v>
      </c>
      <c r="E101" s="24" t="s">
        <v>46</v>
      </c>
      <c r="F101" s="25" t="s">
        <v>46</v>
      </c>
    </row>
    <row r="102" spans="2:6">
      <c r="B102" s="17" t="s">
        <v>106</v>
      </c>
      <c r="C102" s="84"/>
      <c r="D102" s="24"/>
      <c r="E102" s="24" t="s">
        <v>46</v>
      </c>
      <c r="F102" s="25" t="s">
        <v>46</v>
      </c>
    </row>
    <row r="103" spans="2:6">
      <c r="B103" s="10"/>
      <c r="C103" s="84"/>
      <c r="D103" s="24" t="s">
        <v>46</v>
      </c>
      <c r="E103" s="24" t="s">
        <v>46</v>
      </c>
      <c r="F103" s="25" t="s">
        <v>46</v>
      </c>
    </row>
    <row r="104" spans="2:6" ht="29.1">
      <c r="B104" s="18" t="s">
        <v>107</v>
      </c>
      <c r="C104" s="84" t="s">
        <v>43</v>
      </c>
      <c r="D104" s="24">
        <v>-5960</v>
      </c>
      <c r="E104" s="24">
        <v>-5441</v>
      </c>
      <c r="F104" s="25">
        <v>-5431</v>
      </c>
    </row>
    <row r="105" spans="2:6">
      <c r="B105" s="10" t="s">
        <v>108</v>
      </c>
      <c r="C105" s="84" t="s">
        <v>43</v>
      </c>
      <c r="D105" s="24">
        <v>-15421</v>
      </c>
      <c r="E105" s="24">
        <v>-15234</v>
      </c>
      <c r="F105" s="25">
        <v>-15025</v>
      </c>
    </row>
    <row r="106" spans="2:6">
      <c r="B106" s="10" t="s">
        <v>109</v>
      </c>
      <c r="C106" s="84" t="s">
        <v>43</v>
      </c>
      <c r="D106" s="24">
        <v>-90711</v>
      </c>
      <c r="E106" s="24">
        <v>-94949</v>
      </c>
      <c r="F106" s="25">
        <v>-77550</v>
      </c>
    </row>
    <row r="107" spans="2:6">
      <c r="B107" s="10" t="s">
        <v>110</v>
      </c>
      <c r="C107" s="84" t="s">
        <v>43</v>
      </c>
      <c r="D107" s="24">
        <v>4481</v>
      </c>
      <c r="E107" s="24" t="s">
        <v>46</v>
      </c>
      <c r="F107" s="25">
        <v>5228</v>
      </c>
    </row>
    <row r="108" spans="2:6">
      <c r="B108" s="10" t="s">
        <v>111</v>
      </c>
      <c r="C108" s="84" t="s">
        <v>43</v>
      </c>
      <c r="D108" s="24">
        <v>-10932</v>
      </c>
      <c r="E108" s="24">
        <v>-9958</v>
      </c>
      <c r="F108" s="25">
        <v>-11151</v>
      </c>
    </row>
    <row r="109" spans="2:6">
      <c r="B109" s="10" t="s">
        <v>112</v>
      </c>
      <c r="C109" s="84" t="s">
        <v>43</v>
      </c>
      <c r="D109" s="24">
        <v>-2032</v>
      </c>
      <c r="E109" s="24">
        <v>3960</v>
      </c>
      <c r="F109" s="25">
        <v>-3978</v>
      </c>
    </row>
    <row r="110" spans="2:6">
      <c r="B110" s="10" t="s">
        <v>95</v>
      </c>
      <c r="C110" s="84" t="s">
        <v>43</v>
      </c>
      <c r="D110" s="24">
        <v>-111</v>
      </c>
      <c r="E110" s="24">
        <v>-361</v>
      </c>
      <c r="F110" s="25">
        <v>-581</v>
      </c>
    </row>
    <row r="111" spans="2:6">
      <c r="B111" s="10"/>
      <c r="C111" s="84"/>
      <c r="D111" s="24" t="s">
        <v>46</v>
      </c>
      <c r="E111" s="24" t="s">
        <v>46</v>
      </c>
      <c r="F111" s="25" t="s">
        <v>46</v>
      </c>
    </row>
    <row r="112" spans="2:6">
      <c r="B112" s="12" t="s">
        <v>113</v>
      </c>
      <c r="C112" s="85"/>
      <c r="D112" s="26">
        <v>-120686</v>
      </c>
      <c r="E112" s="26">
        <v>-121983</v>
      </c>
      <c r="F112" s="27">
        <v>-108488</v>
      </c>
    </row>
    <row r="113" spans="2:6">
      <c r="B113" s="10"/>
      <c r="C113" s="88"/>
      <c r="D113" s="24" t="s">
        <v>46</v>
      </c>
      <c r="E113" s="24" t="s">
        <v>46</v>
      </c>
      <c r="F113" s="25" t="s">
        <v>46</v>
      </c>
    </row>
    <row r="114" spans="2:6" ht="43.5">
      <c r="B114" s="19" t="s">
        <v>114</v>
      </c>
      <c r="C114" s="84" t="s">
        <v>43</v>
      </c>
      <c r="D114" s="35">
        <v>5991</v>
      </c>
      <c r="E114" s="35">
        <v>-794</v>
      </c>
      <c r="F114" s="36">
        <v>5760</v>
      </c>
    </row>
    <row r="115" spans="2:6" ht="15" thickBot="1">
      <c r="B115" s="18"/>
      <c r="C115" s="84"/>
      <c r="D115" s="24" t="s">
        <v>46</v>
      </c>
      <c r="E115" s="24" t="s">
        <v>46</v>
      </c>
      <c r="F115" s="25" t="s">
        <v>46</v>
      </c>
    </row>
    <row r="116" spans="2:6" ht="30" thickTop="1" thickBot="1">
      <c r="B116" s="20" t="s">
        <v>115</v>
      </c>
      <c r="C116" s="86" t="s">
        <v>43</v>
      </c>
      <c r="D116" s="28">
        <v>35934</v>
      </c>
      <c r="E116" s="28">
        <v>29943</v>
      </c>
      <c r="F116" s="29">
        <v>30737</v>
      </c>
    </row>
    <row r="117" spans="2:6" ht="15" thickTop="1">
      <c r="D117" s="6"/>
      <c r="E117" s="6"/>
      <c r="F117" s="6"/>
    </row>
    <row r="118" spans="2:6">
      <c r="D118" s="6"/>
      <c r="E118" s="6"/>
      <c r="F118" s="6"/>
    </row>
  </sheetData>
  <mergeCells count="1">
    <mergeCell ref="B2:F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9E9A0-A3E1-405D-B2C2-F2393D8BB5AB}">
  <dimension ref="B1:F69"/>
  <sheetViews>
    <sheetView workbookViewId="0">
      <pane xSplit="1" ySplit="4" topLeftCell="B56" activePane="bottomRight" state="frozen"/>
      <selection pane="bottomRight" activeCell="F32" sqref="F32"/>
      <selection pane="bottomLeft" activeCell="A5" sqref="A5"/>
      <selection pane="topRight" activeCell="B1" sqref="B1"/>
    </sheetView>
  </sheetViews>
  <sheetFormatPr defaultRowHeight="14.45"/>
  <cols>
    <col min="1" max="1" width="2.140625" customWidth="1"/>
    <col min="2" max="2" width="37.28515625" customWidth="1"/>
    <col min="3" max="3" width="8.140625" customWidth="1"/>
    <col min="4" max="4" width="16" customWidth="1"/>
    <col min="5" max="5" width="18.5703125" customWidth="1"/>
    <col min="6" max="6" width="16.5703125" customWidth="1"/>
  </cols>
  <sheetData>
    <row r="1" spans="2:6">
      <c r="B1" s="1"/>
      <c r="C1" s="1"/>
      <c r="D1" s="1"/>
      <c r="E1" s="1"/>
      <c r="F1" s="1"/>
    </row>
    <row r="2" spans="2:6">
      <c r="B2" s="117" t="s">
        <v>116</v>
      </c>
      <c r="C2" s="117"/>
      <c r="D2" s="117"/>
      <c r="E2" s="117"/>
      <c r="F2" s="117"/>
    </row>
    <row r="3" spans="2:6">
      <c r="B3" s="1"/>
      <c r="C3" s="1"/>
      <c r="D3" s="1"/>
      <c r="E3" s="1"/>
      <c r="F3" s="1"/>
    </row>
    <row r="4" spans="2:6">
      <c r="B4" s="1"/>
      <c r="C4" s="1" t="s">
        <v>40</v>
      </c>
      <c r="D4" s="2">
        <v>46290</v>
      </c>
      <c r="E4" s="2">
        <v>46289</v>
      </c>
      <c r="F4" s="2">
        <v>46288</v>
      </c>
    </row>
    <row r="5" spans="2:6">
      <c r="F5" s="11"/>
    </row>
    <row r="6" spans="2:6">
      <c r="B6" s="7" t="s">
        <v>41</v>
      </c>
      <c r="C6" s="8"/>
      <c r="D6" s="8"/>
      <c r="E6" s="8"/>
      <c r="F6" s="9"/>
    </row>
    <row r="7" spans="2:6">
      <c r="B7" s="10"/>
      <c r="F7" s="11"/>
    </row>
    <row r="8" spans="2:6">
      <c r="B8" s="10" t="str">
        <f>'Financial Statements'!B8</f>
        <v>   Products</v>
      </c>
      <c r="C8" s="84" t="s">
        <v>117</v>
      </c>
      <c r="D8" s="47">
        <f>'Financial Statements'!D8/'Financial Statements'!D$10</f>
        <v>0.73770247572453929</v>
      </c>
      <c r="E8" s="47">
        <f>'Financial Statements'!E8/'Financial Statements'!E$10</f>
        <v>0.75406549285869551</v>
      </c>
      <c r="F8" s="56">
        <f>'Financial Statements'!F8/'Financial Statements'!F$10</f>
        <v>0.77771110270425403</v>
      </c>
    </row>
    <row r="9" spans="2:6">
      <c r="B9" s="10" t="str">
        <f>'Financial Statements'!B9</f>
        <v>   Services</v>
      </c>
      <c r="C9" s="84" t="s">
        <v>117</v>
      </c>
      <c r="D9" s="47">
        <f>'Financial Statements'!D9/'Financial Statements'!D$10</f>
        <v>0.26229752427546071</v>
      </c>
      <c r="E9" s="47">
        <f>'Financial Statements'!E9/'Financial Statements'!E$10</f>
        <v>0.24593450714130449</v>
      </c>
      <c r="F9" s="56">
        <f>'Financial Statements'!F9/'Financial Statements'!F$10</f>
        <v>0.222288897295746</v>
      </c>
    </row>
    <row r="10" spans="2:6">
      <c r="B10" s="12" t="str">
        <f>'Financial Statements'!B10</f>
        <v>Total net sales</v>
      </c>
      <c r="C10" s="89" t="s">
        <v>117</v>
      </c>
      <c r="D10" s="52">
        <f>'Financial Statements'!D10/'Financial Statements'!D$10</f>
        <v>1</v>
      </c>
      <c r="E10" s="52">
        <f>'Financial Statements'!E10/'Financial Statements'!E$10</f>
        <v>1</v>
      </c>
      <c r="F10" s="57">
        <f>'Financial Statements'!F10/'Financial Statements'!F$10</f>
        <v>1</v>
      </c>
    </row>
    <row r="11" spans="2:6">
      <c r="B11" s="10"/>
      <c r="C11" s="84"/>
      <c r="D11" s="58"/>
      <c r="E11" s="58"/>
      <c r="F11" s="59"/>
    </row>
    <row r="12" spans="2:6">
      <c r="B12" s="10" t="str">
        <f>'Financial Statements'!B12</f>
        <v>Cost of sales:</v>
      </c>
      <c r="C12" s="84"/>
      <c r="D12" s="58"/>
      <c r="E12" s="58"/>
      <c r="F12" s="59"/>
    </row>
    <row r="13" spans="2:6">
      <c r="B13" s="10" t="str">
        <f>'Financial Statements'!B13</f>
        <v>   Products</v>
      </c>
      <c r="C13" s="84" t="s">
        <v>117</v>
      </c>
      <c r="D13" s="47">
        <f>'Financial Statements'!D13/'Financial Statements'!D$10</f>
        <v>0.46644447701730818</v>
      </c>
      <c r="E13" s="47">
        <f>'Financial Statements'!E13/'Financial Statements'!E$10</f>
        <v>0.47369928523022237</v>
      </c>
      <c r="F13" s="56">
        <f>'Financial Statements'!F13/'Financial Statements'!F$10</f>
        <v>0.4938413973935844</v>
      </c>
    </row>
    <row r="14" spans="2:6">
      <c r="B14" s="10" t="str">
        <f>'Financial Statements'!B14</f>
        <v>   Services</v>
      </c>
      <c r="C14" s="84" t="s">
        <v>117</v>
      </c>
      <c r="D14" s="47">
        <f>'Financial Statements'!D14/'Financial Statements'!D$10</f>
        <v>6.4503881911087302E-2</v>
      </c>
      <c r="E14" s="47">
        <f>'Financial Statements'!E14/'Financial Statements'!E$10</f>
        <v>6.4237216617438336E-2</v>
      </c>
      <c r="F14" s="56">
        <f>'Financial Statements'!F14/'Financial Statements'!F$10</f>
        <v>6.4847306834339979E-2</v>
      </c>
    </row>
    <row r="15" spans="2:6">
      <c r="B15" s="14" t="str">
        <f>'Financial Statements'!B15</f>
        <v>Total cost of sales</v>
      </c>
      <c r="C15" s="90" t="s">
        <v>117</v>
      </c>
      <c r="D15" s="60">
        <f>'Financial Statements'!D15/'Financial Statements'!D$10</f>
        <v>0.53094835892839554</v>
      </c>
      <c r="E15" s="60">
        <f>'Financial Statements'!E15/'Financial Statements'!E$10</f>
        <v>0.53793650184766073</v>
      </c>
      <c r="F15" s="61">
        <f>'Financial Statements'!F15/'Financial Statements'!F$10</f>
        <v>0.55868870422792438</v>
      </c>
    </row>
    <row r="16" spans="2:6">
      <c r="B16" s="12" t="str">
        <f>'Financial Statements'!B16</f>
        <v>Gross margin</v>
      </c>
      <c r="C16" s="89" t="s">
        <v>117</v>
      </c>
      <c r="D16" s="52">
        <f>'Financial Statements'!D16/'Financial Statements'!D$10</f>
        <v>0.46905164107160452</v>
      </c>
      <c r="E16" s="52">
        <f>'Financial Statements'!E16/'Financial Statements'!E$10</f>
        <v>0.46206349815233932</v>
      </c>
      <c r="F16" s="57">
        <f>'Financial Statements'!F16/'Financial Statements'!F$10</f>
        <v>0.44131129577207562</v>
      </c>
    </row>
    <row r="17" spans="2:6">
      <c r="B17" s="10"/>
      <c r="C17" s="84"/>
      <c r="D17" s="58"/>
      <c r="E17" s="58"/>
      <c r="F17" s="59"/>
    </row>
    <row r="18" spans="2:6">
      <c r="B18" s="10" t="str">
        <f>'Financial Statements'!B18</f>
        <v>Operating expenses:</v>
      </c>
      <c r="C18" s="84"/>
      <c r="D18" s="58"/>
      <c r="E18" s="58"/>
      <c r="F18" s="59"/>
    </row>
    <row r="19" spans="2:6">
      <c r="B19" s="10" t="str">
        <f>'Financial Statements'!B19</f>
        <v>Research and development</v>
      </c>
      <c r="C19" s="84" t="s">
        <v>117</v>
      </c>
      <c r="D19" s="47">
        <f>'Financial Statements'!D19/'Financial Statements'!D$10</f>
        <v>8.3020753987038676E-2</v>
      </c>
      <c r="E19" s="47">
        <f>'Financial Statements'!E19/'Financial Statements'!E$10</f>
        <v>8.0222997941360744E-2</v>
      </c>
      <c r="F19" s="56">
        <f>'Financial Statements'!F19/'Financial Statements'!F$10</f>
        <v>7.8048971392045086E-2</v>
      </c>
    </row>
    <row r="20" spans="2:6">
      <c r="B20" s="10" t="str">
        <f>'Financial Statements'!B20</f>
        <v>Selling, general and administrative</v>
      </c>
      <c r="C20" s="84" t="s">
        <v>117</v>
      </c>
      <c r="D20" s="47">
        <f>'Financial Statements'!D20/'Financial Statements'!D$10</f>
        <v>6.6322889458647019E-2</v>
      </c>
      <c r="E20" s="47">
        <f>'Financial Statements'!E20/'Financial Statements'!E$10</f>
        <v>6.6738271510222866E-2</v>
      </c>
      <c r="F20" s="56">
        <f>'Financial Statements'!F20/'Financial Statements'!F$10</f>
        <v>6.5048201729783317E-2</v>
      </c>
    </row>
    <row r="21" spans="2:6">
      <c r="B21" s="14" t="str">
        <f>'Financial Statements'!B21</f>
        <v>Total operating expenses</v>
      </c>
      <c r="C21" s="90" t="s">
        <v>117</v>
      </c>
      <c r="D21" s="60">
        <f>'Financial Statements'!D21/'Financial Statements'!D$10</f>
        <v>0.14934364344568568</v>
      </c>
      <c r="E21" s="60">
        <f>'Financial Statements'!E21/'Financial Statements'!E$10</f>
        <v>0.14696126945158361</v>
      </c>
      <c r="F21" s="61">
        <f>'Financial Statements'!F21/'Financial Statements'!F$10</f>
        <v>0.1430971731218284</v>
      </c>
    </row>
    <row r="22" spans="2:6">
      <c r="B22" s="10"/>
      <c r="C22" s="84"/>
      <c r="D22" s="58"/>
      <c r="E22" s="58"/>
      <c r="F22" s="59"/>
    </row>
    <row r="23" spans="2:6">
      <c r="B23" s="10" t="str">
        <f>'Financial Statements'!B23</f>
        <v>Operating income</v>
      </c>
      <c r="C23" s="84" t="s">
        <v>117</v>
      </c>
      <c r="D23" s="47">
        <f>'Financial Statements'!D23/'Financial Statements'!D$10</f>
        <v>0.31970799762591884</v>
      </c>
      <c r="E23" s="47">
        <f>'Financial Statements'!E23/'Financial Statements'!E$10</f>
        <v>0.31510222870075566</v>
      </c>
      <c r="F23" s="56">
        <f>'Financial Statements'!F23/'Financial Statements'!F$10</f>
        <v>0.29821412265024722</v>
      </c>
    </row>
    <row r="24" spans="2:6">
      <c r="B24" s="10" t="str">
        <f>'Financial Statements'!B24</f>
        <v>Other income/(expense), net</v>
      </c>
      <c r="C24" s="84" t="s">
        <v>117</v>
      </c>
      <c r="D24" s="47">
        <f>'Financial Statements'!D24/'Financial Statements'!D$10</f>
        <v>-7.7133609348305101E-4</v>
      </c>
      <c r="E24" s="47">
        <f>'Financial Statements'!E24/'Financial Statements'!E$10</f>
        <v>6.8791796130781137E-4</v>
      </c>
      <c r="F24" s="56">
        <f>'Financial Statements'!F24/'Financial Statements'!F$10</f>
        <v>-1.4740989081231982E-3</v>
      </c>
    </row>
    <row r="25" spans="2:6">
      <c r="B25" s="10" t="str">
        <f>'Financial Statements'!B25</f>
        <v>Income before provision for income taxes</v>
      </c>
      <c r="C25" s="84" t="s">
        <v>117</v>
      </c>
      <c r="D25" s="47">
        <f>'Financial Statements'!D25/'Financial Statements'!D$10</f>
        <v>0.31893666153243577</v>
      </c>
      <c r="E25" s="47">
        <f>'Financial Statements'!E25/'Financial Statements'!E$10</f>
        <v>0.31579014666206351</v>
      </c>
      <c r="F25" s="56">
        <f>'Financial Statements'!F25/'Financial Statements'!F$10</f>
        <v>0.29674002374212399</v>
      </c>
    </row>
    <row r="26" spans="2:6" ht="15" thickBot="1">
      <c r="B26" s="10" t="str">
        <f>'Financial Statements'!B26</f>
        <v>Provision for income taxes</v>
      </c>
      <c r="C26" s="84" t="s">
        <v>117</v>
      </c>
      <c r="D26" s="47">
        <f>'Financial Statements'!D26/'Financial Statements'!D$10</f>
        <v>4.9786020314253381E-2</v>
      </c>
      <c r="E26" s="47">
        <f>'Financial Statements'!E26/'Financial Statements'!E$10</f>
        <v>7.6077588962624829E-2</v>
      </c>
      <c r="F26" s="56">
        <f>'Financial Statements'!F26/'Financial Statements'!F$10</f>
        <v>4.3677681098921166E-2</v>
      </c>
    </row>
    <row r="27" spans="2:6" ht="15.6" thickTop="1" thickBot="1">
      <c r="B27" s="13" t="str">
        <f>'Financial Statements'!B27</f>
        <v>Net income</v>
      </c>
      <c r="C27" s="91" t="s">
        <v>117</v>
      </c>
      <c r="D27" s="53">
        <f>'Financial Statements'!D27/'Financial Statements'!D$10</f>
        <v>0.26915064121818238</v>
      </c>
      <c r="E27" s="53">
        <f>'Financial Statements'!E27/'Financial Statements'!E$10</f>
        <v>0.23971255769943867</v>
      </c>
      <c r="F27" s="62">
        <f>'Financial Statements'!F27/'Financial Statements'!F$10</f>
        <v>0.25306234264320282</v>
      </c>
    </row>
    <row r="28" spans="2:6" ht="15" thickTop="1">
      <c r="C28" s="84"/>
    </row>
    <row r="29" spans="2:6">
      <c r="B29" s="7" t="s">
        <v>23</v>
      </c>
      <c r="C29" s="92"/>
      <c r="D29" s="30" t="s">
        <v>46</v>
      </c>
      <c r="E29" s="30" t="s">
        <v>46</v>
      </c>
      <c r="F29" s="31" t="s">
        <v>46</v>
      </c>
    </row>
    <row r="30" spans="2:6">
      <c r="B30" s="10"/>
      <c r="C30" s="84"/>
      <c r="F30" s="11"/>
    </row>
    <row r="31" spans="2:6">
      <c r="B31" s="10" t="str">
        <f>IFERROR('Financial Statements'!B31,"")</f>
        <v>Current assets:</v>
      </c>
      <c r="C31" s="84"/>
      <c r="F31" s="11"/>
    </row>
    <row r="32" spans="2:6">
      <c r="B32" s="10" t="str">
        <f>IFERROR('Financial Statements'!B32,"")</f>
        <v>Cash and cash equivalents</v>
      </c>
      <c r="C32" s="84" t="s">
        <v>117</v>
      </c>
      <c r="D32" s="47">
        <f>IFERROR('Financial Statements'!D32/'Financial Statements'!D$46, "")</f>
        <v>0.10002755810166435</v>
      </c>
      <c r="E32" s="47">
        <f>IFERROR('Financial Statements'!E32/'Financial Statements'!E$46, "")</f>
        <v>8.2040111786947229E-2</v>
      </c>
      <c r="F32" s="11"/>
    </row>
    <row r="33" spans="2:6">
      <c r="B33" s="10" t="str">
        <f>IFERROR('Financial Statements'!B33,"")</f>
        <v>Marketable securities</v>
      </c>
      <c r="C33" s="84" t="s">
        <v>117</v>
      </c>
      <c r="D33" s="47">
        <f>IFERROR('Financial Statements'!D33/'Financial Statements'!D$46, "")</f>
        <v>5.2229561770510607E-2</v>
      </c>
      <c r="E33" s="47">
        <f>IFERROR('Financial Statements'!E33/'Financial Statements'!E$46, "")</f>
        <v>9.6520357279850949E-2</v>
      </c>
      <c r="F33" s="11"/>
    </row>
    <row r="34" spans="2:6">
      <c r="B34" s="10" t="str">
        <f>IFERROR('Financial Statements'!B34,"")</f>
        <v>Accounts receivable, net</v>
      </c>
      <c r="C34" s="84" t="s">
        <v>117</v>
      </c>
      <c r="D34" s="47">
        <f>IFERROR('Financial Statements'!D34/'Financial Statements'!D$46, "")</f>
        <v>0.11072511211136814</v>
      </c>
      <c r="E34" s="47">
        <f>IFERROR('Financial Statements'!E34/'Financial Statements'!E$46, "")</f>
        <v>9.1539262425338372E-2</v>
      </c>
      <c r="F34" s="11"/>
    </row>
    <row r="35" spans="2:6">
      <c r="B35" s="10" t="str">
        <f>IFERROR('Financial Statements'!B35,"")</f>
        <v>Vendor non-trade receivables</v>
      </c>
      <c r="C35" s="84" t="s">
        <v>117</v>
      </c>
      <c r="D35" s="47">
        <f>IFERROR('Financial Statements'!D35/'Financial Statements'!D$46, "")</f>
        <v>9.2361395275038199E-2</v>
      </c>
      <c r="E35" s="47">
        <f>IFERROR('Financial Statements'!E35/'Financial Statements'!E$46, "")</f>
        <v>8.9958353882404515E-2</v>
      </c>
      <c r="F35" s="11"/>
    </row>
    <row r="36" spans="2:6">
      <c r="B36" s="10" t="str">
        <f>IFERROR('Financial Statements'!B36,"")</f>
        <v>Inventories</v>
      </c>
      <c r="C36" s="84" t="s">
        <v>117</v>
      </c>
      <c r="D36" s="47">
        <f>IFERROR('Financial Statements'!D36/'Financial Statements'!D$46, "")</f>
        <v>1.5916891446132262E-2</v>
      </c>
      <c r="E36" s="47">
        <f>IFERROR('Financial Statements'!E36/'Financial Statements'!E$46, "")</f>
        <v>1.996273768425667E-2</v>
      </c>
      <c r="F36" s="11"/>
    </row>
    <row r="37" spans="2:6">
      <c r="B37" s="10" t="str">
        <f>IFERROR('Financial Statements'!B37,"")</f>
        <v>Other current assets</v>
      </c>
      <c r="C37" s="84" t="s">
        <v>117</v>
      </c>
      <c r="D37" s="47">
        <f>IFERROR('Financial Statements'!D37/'Financial Statements'!D$46, "")</f>
        <v>4.0599486138831589E-2</v>
      </c>
      <c r="E37" s="47">
        <f>IFERROR('Financial Statements'!E37/'Financial Statements'!E$46, "")</f>
        <v>3.9144610663598006E-2</v>
      </c>
      <c r="F37" s="11"/>
    </row>
    <row r="38" spans="2:6">
      <c r="B38" s="12" t="str">
        <f>IFERROR('Financial Statements'!B38,"")</f>
        <v>Total current assets</v>
      </c>
      <c r="C38" s="89" t="s">
        <v>117</v>
      </c>
      <c r="D38" s="52">
        <f>IFERROR('Financial Statements'!D38/'Financial Statements'!D$46, "")</f>
        <v>0.41186000484354512</v>
      </c>
      <c r="E38" s="52">
        <f>IFERROR('Financial Statements'!E38/'Financial Statements'!E$46, "")</f>
        <v>0.41916543372239573</v>
      </c>
      <c r="F38" s="63"/>
    </row>
    <row r="39" spans="2:6">
      <c r="B39" s="10"/>
      <c r="C39" s="84"/>
      <c r="D39" s="47" t="str">
        <f>IFERROR('Financial Statements'!D39/'Financial Statements'!D$46, "")</f>
        <v/>
      </c>
      <c r="E39" s="47" t="str">
        <f>IFERROR('Financial Statements'!E39/'Financial Statements'!E$46, "")</f>
        <v/>
      </c>
      <c r="F39" s="11"/>
    </row>
    <row r="40" spans="2:6">
      <c r="B40" s="10" t="str">
        <f>IFERROR('Financial Statements'!B40,"")</f>
        <v>Non-current assets:</v>
      </c>
      <c r="C40" s="84"/>
      <c r="D40" s="47" t="str">
        <f>IFERROR('Financial Statements'!D40/'Financial Statements'!D$46, "")</f>
        <v/>
      </c>
      <c r="E40" s="47" t="str">
        <f>IFERROR('Financial Statements'!E40/'Financial Statements'!E$46, "")</f>
        <v/>
      </c>
      <c r="F40" s="11"/>
    </row>
    <row r="41" spans="2:6">
      <c r="B41" s="10" t="str">
        <f>IFERROR('Financial Statements'!B41,"")</f>
        <v>Marketable securities</v>
      </c>
      <c r="C41" s="84" t="s">
        <v>117</v>
      </c>
      <c r="D41" s="47">
        <f>IFERROR('Financial Statements'!D41/'Financial Statements'!D$46, "")</f>
        <v>0.21635336723814932</v>
      </c>
      <c r="E41" s="47">
        <f>IFERROR('Financial Statements'!E41/'Financial Statements'!E$46, "")</f>
        <v>0.25064113102087787</v>
      </c>
      <c r="F41" s="11"/>
    </row>
    <row r="42" spans="2:6">
      <c r="B42" s="10" t="str">
        <f>IFERROR('Financial Statements'!B42,"")</f>
        <v>Property, plant and equipment, net</v>
      </c>
      <c r="C42" s="84" t="s">
        <v>117</v>
      </c>
      <c r="D42" s="47">
        <f>IFERROR('Financial Statements'!D42/'Financial Statements'!D$46, "")</f>
        <v>0.13872024629705407</v>
      </c>
      <c r="E42" s="47">
        <f>IFERROR('Financial Statements'!E42/'Financial Statements'!E$46, "")</f>
        <v>0.12515754287906186</v>
      </c>
      <c r="F42" s="11"/>
    </row>
    <row r="43" spans="2:6">
      <c r="B43" s="10" t="str">
        <f>IFERROR('Financial Statements'!B43,"")</f>
        <v>Other non-current assets</v>
      </c>
      <c r="C43" s="84" t="s">
        <v>117</v>
      </c>
      <c r="D43" s="47">
        <f>IFERROR('Financial Statements'!D43/'Financial Statements'!D$46, "")</f>
        <v>0.23306638162125148</v>
      </c>
      <c r="E43" s="47">
        <f>IFERROR('Financial Statements'!E43/'Financial Statements'!E$46, "")</f>
        <v>0.20503589237766454</v>
      </c>
      <c r="F43" s="11"/>
    </row>
    <row r="44" spans="2:6">
      <c r="B44" s="12" t="str">
        <f>IFERROR('Financial Statements'!B44,"")</f>
        <v>Total non-current assets</v>
      </c>
      <c r="C44" s="89" t="s">
        <v>117</v>
      </c>
      <c r="D44" s="52">
        <f>IFERROR('Financial Statements'!D44/'Financial Statements'!D$46, "")</f>
        <v>0.58813999515645488</v>
      </c>
      <c r="E44" s="52">
        <f>IFERROR('Financial Statements'!E44/'Financial Statements'!E$46, "")</f>
        <v>0.58083456627760421</v>
      </c>
      <c r="F44" s="63"/>
    </row>
    <row r="45" spans="2:6" ht="15" thickBot="1">
      <c r="B45" s="10"/>
      <c r="C45" s="84"/>
      <c r="D45" s="47" t="str">
        <f>IFERROR('Financial Statements'!D45/'Financial Statements'!D$46, "")</f>
        <v/>
      </c>
      <c r="E45" s="47" t="str">
        <f>IFERROR('Financial Statements'!E45/'Financial Statements'!E$46, "")</f>
        <v/>
      </c>
      <c r="F45" s="11"/>
    </row>
    <row r="46" spans="2:6" ht="15.6" thickTop="1" thickBot="1">
      <c r="B46" s="13" t="str">
        <f>IFERROR('Financial Statements'!B46,"")</f>
        <v>Total assets</v>
      </c>
      <c r="C46" s="91" t="s">
        <v>117</v>
      </c>
      <c r="D46" s="53">
        <f>IFERROR('Financial Statements'!D46/'Financial Statements'!D$46, "")</f>
        <v>1</v>
      </c>
      <c r="E46" s="53">
        <f>IFERROR('Financial Statements'!E46/'Financial Statements'!E$46, "")</f>
        <v>1</v>
      </c>
      <c r="F46" s="64"/>
    </row>
    <row r="47" spans="2:6" ht="15" thickTop="1">
      <c r="B47" s="10"/>
      <c r="C47" s="84"/>
      <c r="D47" s="47" t="str">
        <f>IFERROR('Financial Statements'!D47/'Financial Statements'!D$46, "")</f>
        <v/>
      </c>
      <c r="E47" s="47" t="str">
        <f>IFERROR('Financial Statements'!E47/'Financial Statements'!E$46, "")</f>
        <v/>
      </c>
      <c r="F47" s="11"/>
    </row>
    <row r="48" spans="2:6">
      <c r="B48" s="10" t="str">
        <f>IFERROR('Financial Statements'!B48,"")</f>
        <v>Current liabilities:</v>
      </c>
      <c r="C48" s="84"/>
      <c r="D48" s="47" t="str">
        <f>IFERROR('Financial Statements'!D48/'Financial Statements'!D$46, "")</f>
        <v/>
      </c>
      <c r="E48" s="47" t="str">
        <f>IFERROR('Financial Statements'!E48/'Financial Statements'!E$46, "")</f>
        <v/>
      </c>
      <c r="F48" s="11"/>
    </row>
    <row r="49" spans="2:6">
      <c r="B49" s="10" t="str">
        <f>IFERROR('Financial Statements'!B49,"")</f>
        <v>Accounts payable</v>
      </c>
      <c r="C49" s="84" t="s">
        <v>117</v>
      </c>
      <c r="D49" s="47">
        <f>IFERROR('Financial Statements'!D49/'Financial Statements'!D$46, "")</f>
        <v>0.19446555376474289</v>
      </c>
      <c r="E49" s="47">
        <f>IFERROR('Financial Statements'!E49/'Financial Statements'!E$46, "")</f>
        <v>0.18894185982793577</v>
      </c>
      <c r="F49" s="11"/>
    </row>
    <row r="50" spans="2:6">
      <c r="B50" s="10" t="str">
        <f>IFERROR('Financial Statements'!B50,"")</f>
        <v>Other current liabilities</v>
      </c>
      <c r="C50" s="84" t="s">
        <v>117</v>
      </c>
      <c r="D50" s="47">
        <f>IFERROR('Financial Statements'!D50/'Financial Statements'!D$46, "")</f>
        <v>0.18479794900916099</v>
      </c>
      <c r="E50" s="47">
        <f>IFERROR('Financial Statements'!E50/'Financial Statements'!E$46, "")</f>
        <v>0.21454326264452847</v>
      </c>
      <c r="F50" s="11"/>
    </row>
    <row r="51" spans="2:6">
      <c r="B51" s="10" t="str">
        <f>IFERROR('Financial Statements'!B51,"")</f>
        <v>Deferred revenue</v>
      </c>
      <c r="C51" s="84" t="s">
        <v>117</v>
      </c>
      <c r="D51" s="47">
        <f>IFERROR('Financial Statements'!D51/'Financial Statements'!D$46, "")</f>
        <v>2.5205920259658558E-2</v>
      </c>
      <c r="E51" s="47">
        <f>IFERROR('Financial Statements'!E51/'Financial Statements'!E$46, "")</f>
        <v>2.2601238424023236E-2</v>
      </c>
      <c r="F51" s="11"/>
    </row>
    <row r="52" spans="2:6">
      <c r="B52" s="10" t="str">
        <f>IFERROR('Financial Statements'!B52,"")</f>
        <v>Commercial paper</v>
      </c>
      <c r="C52" s="84" t="s">
        <v>117</v>
      </c>
      <c r="D52" s="47">
        <f>IFERROR('Financial Statements'!D52/'Financial Statements'!D$46, "")</f>
        <v>2.2210716482806807E-2</v>
      </c>
      <c r="E52" s="47">
        <f>IFERROR('Financial Statements'!E52/'Financial Statements'!E$46, "")</f>
        <v>2.7308345662776044E-2</v>
      </c>
      <c r="F52" s="11"/>
    </row>
    <row r="53" spans="2:6">
      <c r="B53" s="10" t="str">
        <f>IFERROR('Financial Statements'!B53,"")</f>
        <v>Term debt</v>
      </c>
      <c r="C53" s="84" t="s">
        <v>117</v>
      </c>
      <c r="D53" s="47">
        <f>IFERROR('Financial Statements'!D53/'Financial Statements'!D$46, "")</f>
        <v>3.4378035914608855E-2</v>
      </c>
      <c r="E53" s="47">
        <f>IFERROR('Financial Statements'!E53/'Financial Statements'!E$46, "")</f>
        <v>2.9897528631705847E-2</v>
      </c>
      <c r="F53" s="11"/>
    </row>
    <row r="54" spans="2:6">
      <c r="B54" s="12" t="str">
        <f>IFERROR('Financial Statements'!B54,"")</f>
        <v>Total current liabilities</v>
      </c>
      <c r="C54" s="89" t="s">
        <v>117</v>
      </c>
      <c r="D54" s="52">
        <f>IFERROR('Financial Statements'!D54/'Financial Statements'!D$46, "")</f>
        <v>0.4610581754309781</v>
      </c>
      <c r="E54" s="52">
        <f>IFERROR('Financial Statements'!E54/'Financial Statements'!E$46, "")</f>
        <v>0.48329223519096937</v>
      </c>
      <c r="F54" s="65"/>
    </row>
    <row r="55" spans="2:6">
      <c r="B55" s="10"/>
      <c r="C55" s="84"/>
      <c r="D55" s="47" t="str">
        <f>IFERROR('Financial Statements'!D55/'Financial Statements'!D$46, "")</f>
        <v/>
      </c>
      <c r="E55" s="47" t="str">
        <f>IFERROR('Financial Statements'!E55/'Financial Statements'!E$46, "")</f>
        <v/>
      </c>
      <c r="F55" s="11"/>
    </row>
    <row r="56" spans="2:6">
      <c r="B56" s="10" t="str">
        <f>IFERROR('Financial Statements'!B56,"")</f>
        <v>Non-current liabilities:</v>
      </c>
      <c r="C56" s="84"/>
      <c r="D56" s="47" t="str">
        <f>IFERROR('Financial Statements'!D56/'Financial Statements'!D$46, "")</f>
        <v/>
      </c>
      <c r="E56" s="47" t="str">
        <f>IFERROR('Financial Statements'!E56/'Financial Statements'!E$46, "")</f>
        <v/>
      </c>
      <c r="F56" s="11"/>
    </row>
    <row r="57" spans="2:6">
      <c r="B57" s="10" t="str">
        <f>IFERROR('Financial Statements'!B57,"")</f>
        <v>Term debt</v>
      </c>
      <c r="C57" s="84" t="s">
        <v>117</v>
      </c>
      <c r="D57" s="47">
        <f>IFERROR('Financial Statements'!D57/'Financial Statements'!D$46, "")</f>
        <v>0.21803747345097024</v>
      </c>
      <c r="E57" s="47">
        <f>IFERROR('Financial Statements'!E57/'Financial Statements'!E$46, "")</f>
        <v>0.23494438051400077</v>
      </c>
      <c r="F57" s="11"/>
    </row>
    <row r="58" spans="2:6">
      <c r="B58" s="10" t="str">
        <f>IFERROR('Financial Statements'!B58,"")</f>
        <v>Other non-current liabilities</v>
      </c>
      <c r="C58" s="84" t="s">
        <v>117</v>
      </c>
      <c r="D58" s="47">
        <f>IFERROR('Financial Statements'!D58/'Financial Statements'!D$46, "")</f>
        <v>0.11565773394462213</v>
      </c>
      <c r="E58" s="47">
        <f>IFERROR('Financial Statements'!E58/'Financial Statements'!E$46, "")</f>
        <v>0.12572743711984219</v>
      </c>
      <c r="F58" s="11"/>
    </row>
    <row r="59" spans="2:6">
      <c r="B59" s="66" t="str">
        <f>IFERROR('Financial Statements'!B59,"")</f>
        <v>Total non-current liabilities</v>
      </c>
      <c r="C59" s="93" t="s">
        <v>117</v>
      </c>
      <c r="D59" s="55">
        <f>IFERROR('Financial Statements'!D59/'Financial Statements'!D$46, "")</f>
        <v>0.33369520739559239</v>
      </c>
      <c r="E59" s="55">
        <f>IFERROR('Financial Statements'!E59/'Financial Statements'!E$46, "")</f>
        <v>0.36067181763384293</v>
      </c>
      <c r="F59" s="67"/>
    </row>
    <row r="60" spans="2:6">
      <c r="B60" s="14" t="str">
        <f>IFERROR('Financial Statements'!B60,"")</f>
        <v>Total liabilities</v>
      </c>
      <c r="C60" s="90" t="s">
        <v>117</v>
      </c>
      <c r="D60" s="60">
        <f>IFERROR('Financial Statements'!D60/'Financial Statements'!D$46, "")</f>
        <v>0.79475338282657049</v>
      </c>
      <c r="E60" s="60">
        <f>IFERROR('Financial Statements'!E60/'Financial Statements'!E$46, "")</f>
        <v>0.84396405282481235</v>
      </c>
      <c r="F60" s="68"/>
    </row>
    <row r="61" spans="2:6">
      <c r="B61" s="10"/>
      <c r="C61" s="84"/>
      <c r="D61" s="47" t="str">
        <f>IFERROR('Financial Statements'!D61/'Financial Statements'!D$46, "")</f>
        <v/>
      </c>
      <c r="E61" s="47" t="str">
        <f>IFERROR('Financial Statements'!E61/'Financial Statements'!E$46, "")</f>
        <v/>
      </c>
      <c r="F61" s="11"/>
    </row>
    <row r="62" spans="2:6">
      <c r="B62" s="10" t="str">
        <f>IFERROR('Financial Statements'!B62,"")</f>
        <v>Shareholders’ equity:</v>
      </c>
      <c r="C62" s="84"/>
      <c r="D62" s="47" t="str">
        <f>IFERROR('Financial Statements'!D62/'Financial Statements'!D$46, "")</f>
        <v/>
      </c>
      <c r="E62" s="47" t="str">
        <f>IFERROR('Financial Statements'!E62/'Financial Statements'!E$46, "")</f>
        <v/>
      </c>
      <c r="F62" s="11"/>
    </row>
    <row r="63" spans="2:6">
      <c r="B63" s="10" t="str">
        <f>IFERROR('Financial Statements'!B63,"")</f>
        <v>Common stock and additional paid-in capital</v>
      </c>
      <c r="C63" s="84" t="s">
        <v>117</v>
      </c>
      <c r="D63" s="47">
        <f>IFERROR('Financial Statements'!D63/'Financial Statements'!D$46, "")</f>
        <v>0.26046024813426083</v>
      </c>
      <c r="E63" s="47">
        <f>IFERROR('Financial Statements'!E63/'Financial Statements'!E$46, "")</f>
        <v>0.22816592690010412</v>
      </c>
      <c r="F63" s="11"/>
    </row>
    <row r="64" spans="2:6">
      <c r="B64" s="10" t="str">
        <f>IFERROR('Financial Statements'!B64,"")</f>
        <v>Accumulated deficit</v>
      </c>
      <c r="C64" s="84" t="s">
        <v>117</v>
      </c>
      <c r="D64" s="47">
        <f>IFERROR('Financial Statements'!D64/'Financial Statements'!D$46, "")</f>
        <v>-3.9705935569715037E-2</v>
      </c>
      <c r="E64" s="47">
        <f>IFERROR('Financial Statements'!E64/'Financial Statements'!E$46, "")</f>
        <v>-5.24795879226259E-2</v>
      </c>
      <c r="F64" s="11"/>
    </row>
    <row r="65" spans="2:6">
      <c r="B65" s="10" t="str">
        <f>IFERROR('Financial Statements'!B65,"")</f>
        <v>Accumulated other comprehensive loss</v>
      </c>
      <c r="C65" s="84" t="s">
        <v>117</v>
      </c>
      <c r="D65" s="47">
        <f>IFERROR('Financial Statements'!D65/'Financial Statements'!D$46, "")</f>
        <v>-1.550769539111627E-2</v>
      </c>
      <c r="E65" s="47">
        <f>IFERROR('Financial Statements'!E65/'Financial Statements'!E$46, "")</f>
        <v>-1.9650391802290536E-2</v>
      </c>
      <c r="F65" s="11"/>
    </row>
    <row r="66" spans="2:6">
      <c r="B66" s="12" t="str">
        <f>IFERROR('Financial Statements'!B66,"")</f>
        <v>Total shareholders’ equity</v>
      </c>
      <c r="C66" s="89" t="s">
        <v>117</v>
      </c>
      <c r="D66" s="52">
        <f>IFERROR('Financial Statements'!D66/'Financial Statements'!D$46, "")</f>
        <v>0.20524661717342954</v>
      </c>
      <c r="E66" s="52">
        <f>IFERROR('Financial Statements'!E66/'Financial Statements'!E$46, "")</f>
        <v>0.15603594717518768</v>
      </c>
      <c r="F66" s="63"/>
    </row>
    <row r="67" spans="2:6" ht="15" thickBot="1">
      <c r="B67" s="10"/>
      <c r="C67" s="84"/>
      <c r="D67" s="47" t="str">
        <f>IFERROR('Financial Statements'!D67/'Financial Statements'!D$46, "")</f>
        <v/>
      </c>
      <c r="E67" s="47" t="str">
        <f>IFERROR('Financial Statements'!E67/'Financial Statements'!E$46, "")</f>
        <v/>
      </c>
      <c r="F67" s="11"/>
    </row>
    <row r="68" spans="2:6" ht="15.6" thickTop="1" thickBot="1">
      <c r="B68" s="13" t="str">
        <f>IFERROR('Financial Statements'!B68,"")</f>
        <v>Total liabilities and shareholders’ equity</v>
      </c>
      <c r="C68" s="91" t="s">
        <v>117</v>
      </c>
      <c r="D68" s="53">
        <f>IFERROR('Financial Statements'!D68/'Financial Statements'!D$46, "")</f>
        <v>1</v>
      </c>
      <c r="E68" s="53">
        <f>IFERROR('Financial Statements'!E68/'Financial Statements'!E$46, "")</f>
        <v>1</v>
      </c>
      <c r="F68" s="69"/>
    </row>
    <row r="69" spans="2:6" ht="15" thickTop="1"/>
  </sheetData>
  <mergeCells count="1">
    <mergeCell ref="B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E425-7A3C-4113-A502-2E7ED727BCB0}">
  <dimension ref="B1:H35"/>
  <sheetViews>
    <sheetView workbookViewId="0">
      <pane xSplit="1" ySplit="4" topLeftCell="B20" activePane="bottomRight" state="frozen"/>
      <selection pane="bottomRight" activeCell="E25" sqref="E25"/>
      <selection pane="bottomLeft" activeCell="A5" sqref="A5"/>
      <selection pane="topRight" activeCell="B1" sqref="B1"/>
    </sheetView>
  </sheetViews>
  <sheetFormatPr defaultRowHeight="14.45"/>
  <cols>
    <col min="1" max="1" width="3" customWidth="1"/>
    <col min="2" max="2" width="22" customWidth="1"/>
    <col min="3" max="3" width="6.42578125" customWidth="1"/>
    <col min="4" max="5" width="13" customWidth="1"/>
    <col min="6" max="6" width="14.140625" customWidth="1"/>
    <col min="7" max="7" width="13" customWidth="1"/>
  </cols>
  <sheetData>
    <row r="1" spans="2:8">
      <c r="B1" s="4"/>
      <c r="C1" s="4"/>
      <c r="D1" s="4"/>
      <c r="E1" s="4"/>
      <c r="F1" s="4"/>
      <c r="G1" s="4"/>
      <c r="H1" s="22"/>
    </row>
    <row r="2" spans="2:8">
      <c r="B2" s="117" t="s">
        <v>118</v>
      </c>
      <c r="C2" s="117"/>
      <c r="D2" s="117"/>
      <c r="E2" s="117"/>
      <c r="F2" s="117"/>
      <c r="G2" s="117"/>
      <c r="H2" s="22"/>
    </row>
    <row r="3" spans="2:8">
      <c r="B3" s="4"/>
      <c r="C3" s="4"/>
      <c r="D3" s="4"/>
      <c r="E3" s="4"/>
      <c r="F3" s="4"/>
      <c r="G3" s="4"/>
      <c r="H3" s="22"/>
    </row>
    <row r="4" spans="2:8">
      <c r="B4" s="4"/>
      <c r="C4" s="4" t="s">
        <v>40</v>
      </c>
      <c r="D4" s="21">
        <f>'Financial Statements'!D4</f>
        <v>46290</v>
      </c>
      <c r="E4" s="21">
        <f>'Financial Statements'!E4</f>
        <v>46289</v>
      </c>
      <c r="F4" s="21">
        <f>'Financial Statements'!F4</f>
        <v>46288</v>
      </c>
      <c r="G4" s="1" t="s">
        <v>119</v>
      </c>
      <c r="H4" s="22"/>
    </row>
    <row r="6" spans="2:8">
      <c r="B6" s="119" t="s">
        <v>120</v>
      </c>
      <c r="C6" s="119"/>
      <c r="D6" s="119"/>
      <c r="E6" s="119"/>
      <c r="F6" s="119"/>
      <c r="G6" s="119"/>
    </row>
    <row r="7" spans="2:8">
      <c r="B7" s="10"/>
      <c r="C7" s="84"/>
      <c r="G7" s="11" t="s">
        <v>121</v>
      </c>
    </row>
    <row r="8" spans="2:8">
      <c r="B8" s="10" t="s">
        <v>122</v>
      </c>
      <c r="C8" s="84" t="s">
        <v>117</v>
      </c>
      <c r="D8" s="47">
        <f>'Financial Statements'!D16/'Financial Statements'!D10</f>
        <v>0.46905164107160452</v>
      </c>
      <c r="E8" s="47">
        <f>'Financial Statements'!E16/'Financial Statements'!E10</f>
        <v>0.46206349815233932</v>
      </c>
      <c r="F8" s="47">
        <f>'Financial Statements'!F16/'Financial Statements'!F10</f>
        <v>0.44131129577207562</v>
      </c>
      <c r="G8" s="11"/>
    </row>
    <row r="9" spans="2:8">
      <c r="B9" s="10" t="s">
        <v>123</v>
      </c>
      <c r="C9" s="84" t="s">
        <v>117</v>
      </c>
      <c r="D9" s="47">
        <f>'Financial Statements'!D27/'Financial Statements'!D10</f>
        <v>0.26915064121818238</v>
      </c>
      <c r="E9" s="47">
        <f>'Financial Statements'!E27/'Financial Statements'!E10</f>
        <v>0.23971255769943867</v>
      </c>
      <c r="F9" s="47">
        <f>'Financial Statements'!F27/'Financial Statements'!F10</f>
        <v>0.25306234264320282</v>
      </c>
      <c r="G9" s="11"/>
    </row>
    <row r="10" spans="2:8">
      <c r="B10" s="10" t="s">
        <v>124</v>
      </c>
      <c r="C10" s="84" t="s">
        <v>117</v>
      </c>
      <c r="D10" s="47">
        <f>SUM('Financial Statements'!D21,'Financial Statements'!D15)/'Financial Statements'!D10</f>
        <v>0.68029200237408116</v>
      </c>
      <c r="E10" s="47">
        <f>SUM('Financial Statements'!E21,'Financial Statements'!E15)/'Financial Statements'!E10</f>
        <v>0.68489777129924434</v>
      </c>
      <c r="F10" s="47">
        <f>SUM('Financial Statements'!F21,'Financial Statements'!F15)/'Financial Statements'!F10</f>
        <v>0.70178587734975284</v>
      </c>
      <c r="G10" s="11"/>
    </row>
    <row r="11" spans="2:8">
      <c r="B11" s="10" t="s">
        <v>125</v>
      </c>
      <c r="C11" s="84" t="s">
        <v>117</v>
      </c>
      <c r="D11" s="47">
        <f>('Financial Statements'!D16-'Financial Statements'!D21+'Financial Statements'!D23-'Financial Statements'!D26)/'Financial Statements'!D10</f>
        <v>0.58962997493758429</v>
      </c>
      <c r="E11" s="47">
        <f>('Financial Statements'!E16-'Financial Statements'!E21+'Financial Statements'!E23-'Financial Statements'!E26)/'Financial Statements'!E10</f>
        <v>0.55412686843888659</v>
      </c>
      <c r="F11" s="47">
        <f>('Financial Statements'!F16-'Financial Statements'!F21+'Financial Statements'!F23-'Financial Statements'!F26)/'Financial Statements'!F10</f>
        <v>0.5527505642015732</v>
      </c>
      <c r="G11" s="11"/>
    </row>
    <row r="12" spans="2:8">
      <c r="B12" s="10" t="s">
        <v>126</v>
      </c>
      <c r="C12" s="84"/>
      <c r="D12" s="94">
        <v>7.46</v>
      </c>
      <c r="E12" s="95">
        <v>6.08</v>
      </c>
      <c r="F12" s="95">
        <v>6.13</v>
      </c>
      <c r="G12" s="11"/>
    </row>
    <row r="13" spans="2:8">
      <c r="B13" s="10" t="s">
        <v>127</v>
      </c>
      <c r="C13" s="84"/>
      <c r="G13" s="11"/>
    </row>
    <row r="14" spans="2:8">
      <c r="B14" s="42" t="s">
        <v>128</v>
      </c>
      <c r="C14" s="88" t="s">
        <v>117</v>
      </c>
      <c r="D14" s="48">
        <f>IFERROR('Financial Statements'!D25/('Financial Statements'!D46-'Financial Statements'!D54),"")</f>
        <v>0.68554826713496209</v>
      </c>
      <c r="E14" s="48">
        <f>IFERROR('Financial Statements'!E25/('Financial Statements'!E46-'Financial Statements'!E54),"")</f>
        <v>0.65478715506819096</v>
      </c>
      <c r="F14" s="43"/>
      <c r="G14" s="45"/>
    </row>
    <row r="15" spans="2:8">
      <c r="C15" s="84"/>
      <c r="D15" s="47"/>
      <c r="E15" s="47"/>
    </row>
    <row r="16" spans="2:8">
      <c r="B16" t="s">
        <v>129</v>
      </c>
      <c r="C16" s="84" t="s">
        <v>117</v>
      </c>
      <c r="D16" s="47">
        <f>AVERAGE(D9,E9,F9)</f>
        <v>0.25397518052027462</v>
      </c>
      <c r="E16" s="47"/>
    </row>
    <row r="17" spans="2:7">
      <c r="C17" s="84"/>
    </row>
    <row r="18" spans="2:7">
      <c r="B18" s="40" t="s">
        <v>130</v>
      </c>
      <c r="C18" s="1"/>
      <c r="D18" s="4"/>
      <c r="E18" s="4"/>
      <c r="F18" s="4"/>
      <c r="G18" s="41"/>
    </row>
    <row r="19" spans="2:7">
      <c r="B19" s="10"/>
      <c r="C19" s="84"/>
      <c r="G19" s="11"/>
    </row>
    <row r="20" spans="2:7">
      <c r="B20" s="10" t="s">
        <v>131</v>
      </c>
      <c r="C20" s="84"/>
      <c r="D20" s="95">
        <f>'Financial Statements'!D38/'Financial Statements'!D54</f>
        <v>0.89329292221866674</v>
      </c>
      <c r="E20" s="95">
        <f>'Financial Statements'!E38/'Financial Statements'!E54</f>
        <v>0.86731257653408322</v>
      </c>
      <c r="F20" s="46"/>
      <c r="G20" s="45"/>
    </row>
    <row r="21" spans="2:7">
      <c r="B21" s="42" t="s">
        <v>132</v>
      </c>
      <c r="C21" s="88"/>
      <c r="D21" s="44">
        <f>('Financial Statements'!D38-'Financial Statements'!D36)/'Financial Statements'!D54</f>
        <v>0.85877039926100796</v>
      </c>
      <c r="E21" s="44">
        <f>('Financial Statements'!E38-'Financial Statements'!E36)/'Financial Statements'!E54</f>
        <v>0.82600684838314664</v>
      </c>
      <c r="F21" s="43"/>
      <c r="G21" s="45"/>
    </row>
    <row r="22" spans="2:7">
      <c r="C22" s="84"/>
    </row>
    <row r="23" spans="2:7">
      <c r="B23" s="40" t="s">
        <v>133</v>
      </c>
      <c r="C23" s="1"/>
      <c r="D23" s="4"/>
      <c r="E23" s="4"/>
      <c r="F23" s="4"/>
      <c r="G23" s="41"/>
    </row>
    <row r="24" spans="2:7">
      <c r="B24" s="10"/>
      <c r="C24" s="84"/>
      <c r="G24" s="11"/>
    </row>
    <row r="25" spans="2:7">
      <c r="B25" s="10" t="s">
        <v>134</v>
      </c>
      <c r="C25" s="84"/>
      <c r="D25" s="95">
        <f>'Financial Statements'!D60/'Financial Statements'!E66</f>
        <v>5.0133099209833185</v>
      </c>
      <c r="E25" s="95">
        <f>'Financial Statements'!E60/'Financial Statements'!E66</f>
        <v>5.408779631255487</v>
      </c>
      <c r="G25" s="11"/>
    </row>
    <row r="26" spans="2:7">
      <c r="B26" s="10" t="s">
        <v>135</v>
      </c>
      <c r="C26" s="84"/>
      <c r="D26" s="95">
        <f>'Financial Statements'!D66/'Financial Statements'!D46</f>
        <v>0.20524661717342954</v>
      </c>
      <c r="E26" s="95">
        <f>'Financial Statements'!E66/'Financial Statements'!E46</f>
        <v>0.15603594717518768</v>
      </c>
      <c r="G26" s="11"/>
    </row>
    <row r="27" spans="2:7">
      <c r="B27" s="10" t="s">
        <v>136</v>
      </c>
      <c r="C27" s="84"/>
      <c r="D27" s="95">
        <f>'Financial Statements'!D59/'Financial Statements'!D46</f>
        <v>0.33369520739559239</v>
      </c>
      <c r="E27" s="95">
        <f>'Financial Statements'!E59/'Financial Statements'!E46</f>
        <v>0.36067181763384293</v>
      </c>
      <c r="G27" s="11"/>
    </row>
    <row r="28" spans="2:7">
      <c r="B28" s="42" t="s">
        <v>137</v>
      </c>
      <c r="C28" s="88"/>
      <c r="D28" s="43"/>
      <c r="E28" s="43"/>
      <c r="F28" s="43"/>
      <c r="G28" s="45"/>
    </row>
    <row r="29" spans="2:7">
      <c r="C29" s="84"/>
    </row>
    <row r="30" spans="2:7">
      <c r="B30" s="40" t="s">
        <v>138</v>
      </c>
      <c r="C30" s="1"/>
      <c r="D30" s="4"/>
      <c r="E30" s="4"/>
      <c r="F30" s="4"/>
      <c r="G30" s="41"/>
    </row>
    <row r="31" spans="2:7">
      <c r="B31" s="10"/>
      <c r="C31" s="84"/>
      <c r="G31" s="11"/>
    </row>
    <row r="32" spans="2:7">
      <c r="B32" s="10" t="s">
        <v>139</v>
      </c>
      <c r="C32" s="84"/>
      <c r="D32" s="49">
        <f>('Financial Statements'!D49/'Financial Statements'!D10)*365</f>
        <v>61.271719358613616</v>
      </c>
      <c r="E32" s="49">
        <f>('Financial Statements'!E49/'Financial Statements'!E10)*365</f>
        <v>64.368662651680793</v>
      </c>
      <c r="G32" s="11"/>
    </row>
    <row r="33" spans="2:7">
      <c r="B33" s="42" t="s">
        <v>140</v>
      </c>
      <c r="C33" s="88"/>
      <c r="D33" s="44">
        <f>'Financial Statements'!D16/Ratios!D35</f>
        <v>-11.044528686205727</v>
      </c>
      <c r="E33" s="44">
        <f>'Financial Statements'!E16/Ratios!E35</f>
        <v>-7.7198461867122408</v>
      </c>
      <c r="F33" s="43"/>
      <c r="G33" s="45"/>
    </row>
    <row r="34" spans="2:7">
      <c r="C34" s="84"/>
    </row>
    <row r="35" spans="2:7">
      <c r="B35" s="38" t="s">
        <v>141</v>
      </c>
      <c r="C35" s="84" t="s">
        <v>43</v>
      </c>
      <c r="D35" s="39">
        <f>'Financial Statements'!D38-'Financial Statements'!D54</f>
        <v>-17674</v>
      </c>
      <c r="E35" s="39">
        <f>'Financial Statements'!E38-'Financial Statements'!E54</f>
        <v>-23405</v>
      </c>
    </row>
  </sheetData>
  <mergeCells count="2">
    <mergeCell ref="B2:G2"/>
    <mergeCell ref="B6:G6"/>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685FF26A-DF3A-47D4-8B54-EB981BFC1B21}">
          <x14:colorSeries rgb="FF376092"/>
          <x14:colorNegative rgb="FFD00000"/>
          <x14:colorAxis rgb="FF000000"/>
          <x14:colorMarkers rgb="FFD00000"/>
          <x14:colorFirst rgb="FFD00000"/>
          <x14:colorLast rgb="FFD00000"/>
          <x14:colorHigh rgb="FFD00000"/>
          <x14:colorLow rgb="FFD00000"/>
          <x14:sparklines>
            <x14:sparkline>
              <xm:f>Ratios!D27:E27</xm:f>
              <xm:sqref>G27</xm:sqref>
            </x14:sparkline>
          </x14:sparklines>
        </x14:sparklineGroup>
        <x14:sparklineGroup displayEmptyCellsAs="gap" xr2:uid="{00153BA9-FF80-463C-A634-8C1472B45B79}">
          <x14:colorSeries rgb="FF376092"/>
          <x14:colorNegative rgb="FFD00000"/>
          <x14:colorAxis rgb="FF000000"/>
          <x14:colorMarkers rgb="FFD00000"/>
          <x14:colorFirst rgb="FFD00000"/>
          <x14:colorLast rgb="FFD00000"/>
          <x14:colorHigh rgb="FFD00000"/>
          <x14:colorLow rgb="FFD00000"/>
          <x14:sparklines>
            <x14:sparkline>
              <xm:f>Ratios!D26:E26</xm:f>
              <xm:sqref>G26</xm:sqref>
            </x14:sparkline>
          </x14:sparklines>
        </x14:sparklineGroup>
        <x14:sparklineGroup displayEmptyCellsAs="gap" xr2:uid="{0C109194-C376-447A-96D3-EFAF5339DBD5}">
          <x14:colorSeries rgb="FF376092"/>
          <x14:colorNegative rgb="FFD00000"/>
          <x14:colorAxis rgb="FF000000"/>
          <x14:colorMarkers rgb="FFD00000"/>
          <x14:colorFirst rgb="FFD00000"/>
          <x14:colorLast rgb="FFD00000"/>
          <x14:colorHigh rgb="FFD00000"/>
          <x14:colorLow rgb="FFD00000"/>
          <x14:sparklines>
            <x14:sparkline>
              <xm:f>Ratios!D25:E25</xm:f>
              <xm:sqref>G25</xm:sqref>
            </x14:sparkline>
          </x14:sparklines>
        </x14:sparklineGroup>
        <x14:sparklineGroup displayEmptyCellsAs="gap" xr2:uid="{AEC48E3B-57DB-4AAB-817F-B6104081B319}">
          <x14:colorSeries rgb="FF376092"/>
          <x14:colorNegative rgb="FFD00000"/>
          <x14:colorAxis rgb="FF000000"/>
          <x14:colorMarkers rgb="FFD00000"/>
          <x14:colorFirst rgb="FFD00000"/>
          <x14:colorLast rgb="FFD00000"/>
          <x14:colorHigh rgb="FFD00000"/>
          <x14:colorLow rgb="FFD00000"/>
          <x14:sparklines>
            <x14:sparkline>
              <xm:f>Ratios!D20:E20</xm:f>
              <xm:sqref>G20</xm:sqref>
            </x14:sparkline>
          </x14:sparklines>
        </x14:sparklineGroup>
        <x14:sparklineGroup displayEmptyCellsAs="gap" xr2:uid="{30B93075-1A82-4282-84B6-714092EF9950}">
          <x14:colorSeries rgb="FF376092"/>
          <x14:colorNegative rgb="FFD00000"/>
          <x14:colorAxis rgb="FF000000"/>
          <x14:colorMarkers rgb="FFD00000"/>
          <x14:colorFirst rgb="FFD00000"/>
          <x14:colorLast rgb="FFD00000"/>
          <x14:colorHigh rgb="FFD00000"/>
          <x14:colorLow rgb="FFD00000"/>
          <x14:sparklines>
            <x14:sparkline>
              <xm:f>Ratios!D21:E21</xm:f>
              <xm:sqref>G21</xm:sqref>
            </x14:sparkline>
          </x14:sparklines>
        </x14:sparklineGroup>
        <x14:sparklineGroup displayEmptyCellsAs="gap" xr2:uid="{7C92CB31-BFF3-462F-9EB2-EF3AB10CDA82}">
          <x14:colorSeries rgb="FF376092"/>
          <x14:colorNegative rgb="FFD00000"/>
          <x14:colorAxis rgb="FF000000"/>
          <x14:colorMarkers rgb="FFD00000"/>
          <x14:colorFirst rgb="FFD00000"/>
          <x14:colorLast rgb="FFD00000"/>
          <x14:colorHigh rgb="FFD00000"/>
          <x14:colorLow rgb="FFD00000"/>
          <x14:sparklines>
            <x14:sparkline>
              <xm:f>Ratios!D8:F8</xm:f>
              <xm:sqref>G8</xm:sqref>
            </x14:sparkline>
            <x14:sparkline>
              <xm:f>Ratios!D9:F9</xm:f>
              <xm:sqref>G9</xm:sqref>
            </x14:sparkline>
            <x14:sparkline>
              <xm:f>Ratios!D10:F10</xm:f>
              <xm:sqref>G10</xm:sqref>
            </x14:sparkline>
            <x14:sparkline>
              <xm:f>Ratios!D11:F11</xm:f>
              <xm:sqref>G11</xm:sqref>
            </x14:sparkline>
            <x14:sparkline>
              <xm:f>Ratios!D12:F12</xm:f>
              <xm:sqref>G12</xm:sqref>
            </x14:sparkline>
          </x14:sparklines>
        </x14:sparklineGroup>
        <x14:sparklineGroup displayEmptyCellsAs="gap" xr2:uid="{2A826991-9605-409C-9302-D5BCE57B0153}">
          <x14:colorSeries rgb="FF376092"/>
          <x14:colorNegative rgb="FFD00000"/>
          <x14:colorAxis rgb="FF000000"/>
          <x14:colorMarkers rgb="FFD00000"/>
          <x14:colorFirst rgb="FFD00000"/>
          <x14:colorLast rgb="FFD00000"/>
          <x14:colorHigh rgb="FFD00000"/>
          <x14:colorLow rgb="FFD00000"/>
          <x14:sparklines>
            <x14:sparkline>
              <xm:f>Ratios!D14:E14</xm:f>
              <xm:sqref>G14</xm:sqref>
            </x14:sparkline>
            <x14:sparkline>
              <xm:f>Ratios!D15:E15</xm:f>
              <xm:sqref>G15</xm:sqref>
            </x14:sparkline>
            <x14:sparkline>
              <xm:f>Ratios!D16:E16</xm:f>
              <xm:sqref>G16</xm:sqref>
            </x14:sparkline>
          </x14:sparklines>
        </x14:sparklineGroup>
        <x14:sparklineGroup displayEmptyCellsAs="gap" xr2:uid="{12A90D56-F738-4FFE-8D33-AF6A21065522}">
          <x14:colorSeries rgb="FF376092"/>
          <x14:colorNegative rgb="FFD00000"/>
          <x14:colorAxis rgb="FF000000"/>
          <x14:colorMarkers rgb="FFD00000"/>
          <x14:colorFirst rgb="FFD00000"/>
          <x14:colorLast rgb="FFD00000"/>
          <x14:colorHigh rgb="FFD00000"/>
          <x14:colorLow rgb="FFD00000"/>
          <x14:sparklines>
            <x14:sparkline>
              <xm:f>Ratios!D33:E33</xm:f>
              <xm:sqref>G33</xm:sqref>
            </x14:sparkline>
            <x14:sparkline>
              <xm:f>Ratios!D32:E32</xm:f>
              <xm:sqref>G32</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B3140-410E-4780-9621-E98CA4F66F5F}">
  <dimension ref="B1:G17"/>
  <sheetViews>
    <sheetView workbookViewId="0">
      <selection activeCell="G17" sqref="G17"/>
    </sheetView>
  </sheetViews>
  <sheetFormatPr defaultRowHeight="14.45"/>
  <cols>
    <col min="1" max="1" width="2.140625" customWidth="1"/>
    <col min="2" max="2" width="22.5703125" customWidth="1"/>
    <col min="3" max="3" width="6.5703125" customWidth="1"/>
    <col min="4" max="4" width="12.5703125" customWidth="1"/>
    <col min="5" max="5" width="12.7109375" customWidth="1"/>
    <col min="6" max="6" width="12.42578125" customWidth="1"/>
    <col min="7" max="7" width="13.140625" customWidth="1"/>
  </cols>
  <sheetData>
    <row r="1" spans="2:7">
      <c r="B1" s="51"/>
      <c r="C1" s="51"/>
      <c r="D1" s="51"/>
      <c r="E1" s="51"/>
      <c r="F1" s="51"/>
      <c r="G1" s="50"/>
    </row>
    <row r="2" spans="2:7">
      <c r="B2" s="117" t="s">
        <v>142</v>
      </c>
      <c r="C2" s="117"/>
      <c r="D2" s="117"/>
      <c r="E2" s="117"/>
      <c r="F2" s="117"/>
      <c r="G2" s="117"/>
    </row>
    <row r="3" spans="2:7">
      <c r="B3" s="51"/>
      <c r="C3" s="51"/>
      <c r="D3" s="51"/>
      <c r="E3" s="51"/>
      <c r="F3" s="51"/>
      <c r="G3" s="51"/>
    </row>
    <row r="4" spans="2:7">
      <c r="B4" s="4"/>
      <c r="C4" s="4" t="s">
        <v>40</v>
      </c>
      <c r="D4" s="21">
        <v>46290</v>
      </c>
      <c r="E4" s="21">
        <v>46289</v>
      </c>
      <c r="F4" s="21">
        <v>46288</v>
      </c>
      <c r="G4" s="104" t="s">
        <v>143</v>
      </c>
    </row>
    <row r="5" spans="2:7">
      <c r="B5" s="70"/>
      <c r="C5" s="54"/>
      <c r="D5" s="54"/>
      <c r="E5" s="54"/>
      <c r="F5" s="54"/>
      <c r="G5" s="105"/>
    </row>
    <row r="6" spans="2:7">
      <c r="B6" s="14" t="s">
        <v>144</v>
      </c>
      <c r="C6" s="84" t="s">
        <v>43</v>
      </c>
      <c r="D6" s="71">
        <f>'Financial Statements'!D10</f>
        <v>416161</v>
      </c>
      <c r="E6" s="71">
        <f>'Financial Statements'!E10</f>
        <v>391035</v>
      </c>
      <c r="F6" s="71">
        <f>'Financial Statements'!F10</f>
        <v>383285</v>
      </c>
      <c r="G6" s="109">
        <f>AVERAGE(D6,E6,F6)</f>
        <v>396827</v>
      </c>
    </row>
    <row r="7" spans="2:7">
      <c r="B7" s="10" t="s">
        <v>145</v>
      </c>
      <c r="C7" s="84" t="s">
        <v>117</v>
      </c>
      <c r="D7" s="47">
        <f>('Financial Statements'!D10-'Financial Statements'!E10)/'Financial Statements'!E10</f>
        <v>6.4255117828327393E-2</v>
      </c>
      <c r="E7" s="47">
        <f>('Financial Statements'!E10-'Financial Statements'!F10)/'Financial Statements'!F10</f>
        <v>2.0219940775141214E-2</v>
      </c>
      <c r="F7" s="58">
        <v>-2.8000000000000001E-2</v>
      </c>
      <c r="G7" s="107">
        <f t="shared" ref="G7:G13" si="0">AVERAGE(D7,E7,F7)</f>
        <v>1.8825019534489534E-2</v>
      </c>
    </row>
    <row r="8" spans="2:7">
      <c r="B8" s="10" t="s">
        <v>146</v>
      </c>
      <c r="C8" s="84" t="s">
        <v>43</v>
      </c>
      <c r="D8" s="72">
        <f>'Financial Statements'!D8</f>
        <v>307003</v>
      </c>
      <c r="E8" s="72">
        <f>'Financial Statements'!E8</f>
        <v>294866</v>
      </c>
      <c r="F8" s="72">
        <f>'Financial Statements'!F8</f>
        <v>298085</v>
      </c>
      <c r="G8" s="106">
        <f t="shared" si="0"/>
        <v>299984.66666666669</v>
      </c>
    </row>
    <row r="9" spans="2:7">
      <c r="B9" s="10" t="s">
        <v>147</v>
      </c>
      <c r="C9" s="84" t="s">
        <v>43</v>
      </c>
      <c r="D9" s="72">
        <f>'Financial Statements'!D9</f>
        <v>109158</v>
      </c>
      <c r="E9" s="72">
        <f>'Financial Statements'!E9</f>
        <v>96169</v>
      </c>
      <c r="F9" s="72">
        <f>'Financial Statements'!F9</f>
        <v>85200</v>
      </c>
      <c r="G9" s="106">
        <f t="shared" si="0"/>
        <v>96842.333333333328</v>
      </c>
    </row>
    <row r="10" spans="2:7">
      <c r="B10" s="10" t="s">
        <v>148</v>
      </c>
      <c r="C10" s="84" t="s">
        <v>117</v>
      </c>
      <c r="D10" s="47">
        <f>(D8-E8)/E8</f>
        <v>4.1161069774066868E-2</v>
      </c>
      <c r="E10" s="47">
        <f t="shared" ref="E10:E11" si="1">(E8-F8)/F8</f>
        <v>-1.0798933190197427E-2</v>
      </c>
      <c r="F10" s="58">
        <v>-5.7299999999999997E-2</v>
      </c>
      <c r="G10" s="107">
        <f t="shared" si="0"/>
        <v>-8.9792878053768527E-3</v>
      </c>
    </row>
    <row r="11" spans="2:7">
      <c r="B11" s="10" t="s">
        <v>149</v>
      </c>
      <c r="C11" s="84" t="s">
        <v>117</v>
      </c>
      <c r="D11" s="47">
        <f t="shared" ref="D11" si="2">(D9-E9)/E9</f>
        <v>0.135064313864135</v>
      </c>
      <c r="E11" s="47">
        <f t="shared" si="1"/>
        <v>0.12874413145539906</v>
      </c>
      <c r="F11" s="58">
        <v>9.0499999999999997E-2</v>
      </c>
      <c r="G11" s="107">
        <f t="shared" si="0"/>
        <v>0.11810281510651137</v>
      </c>
    </row>
    <row r="12" spans="2:7">
      <c r="B12" s="10" t="s">
        <v>150</v>
      </c>
      <c r="C12" s="84" t="s">
        <v>117</v>
      </c>
      <c r="D12" s="58">
        <f>'Common Size Statement'!D8</f>
        <v>0.73770247572453929</v>
      </c>
      <c r="E12" s="58">
        <f>'Common Size Statement'!E8</f>
        <v>0.75406549285869551</v>
      </c>
      <c r="F12" s="58">
        <f>'Common Size Statement'!F8</f>
        <v>0.77771110270425403</v>
      </c>
      <c r="G12" s="107">
        <f t="shared" si="0"/>
        <v>0.75649302376249627</v>
      </c>
    </row>
    <row r="13" spans="2:7">
      <c r="B13" s="42" t="s">
        <v>151</v>
      </c>
      <c r="C13" s="88" t="s">
        <v>117</v>
      </c>
      <c r="D13" s="73">
        <f>'Common Size Statement'!D9</f>
        <v>0.26229752427546071</v>
      </c>
      <c r="E13" s="73">
        <f>'Common Size Statement'!E9</f>
        <v>0.24593450714130449</v>
      </c>
      <c r="F13" s="73">
        <f>'Common Size Statement'!F9</f>
        <v>0.222288897295746</v>
      </c>
      <c r="G13" s="108">
        <f t="shared" si="0"/>
        <v>0.24350697623750373</v>
      </c>
    </row>
    <row r="15" spans="2:7">
      <c r="B15" s="38"/>
      <c r="C15" s="100"/>
      <c r="D15" s="101"/>
    </row>
    <row r="16" spans="2:7">
      <c r="B16" s="38"/>
      <c r="C16" s="100"/>
      <c r="D16" s="101"/>
    </row>
    <row r="17" spans="2:4">
      <c r="B17" s="38"/>
      <c r="C17" s="100"/>
      <c r="D17" s="101"/>
    </row>
  </sheetData>
  <mergeCells count="1">
    <mergeCell ref="B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818DD-2B5A-439C-846D-8460E735C971}">
  <dimension ref="B1:H14"/>
  <sheetViews>
    <sheetView workbookViewId="0">
      <pane xSplit="1" ySplit="4" topLeftCell="B5" activePane="bottomRight" state="frozen"/>
      <selection pane="bottomRight" activeCell="G13" sqref="G13"/>
      <selection pane="bottomLeft" activeCell="A5" sqref="A5"/>
      <selection pane="topRight" activeCell="B1" sqref="B1"/>
    </sheetView>
  </sheetViews>
  <sheetFormatPr defaultRowHeight="14.45"/>
  <cols>
    <col min="1" max="1" width="2.140625" customWidth="1"/>
    <col min="2" max="2" width="20.7109375" customWidth="1"/>
    <col min="3" max="3" width="6.5703125" customWidth="1"/>
    <col min="4" max="4" width="16.28515625" customWidth="1"/>
    <col min="5" max="5" width="16.5703125" customWidth="1"/>
    <col min="6" max="6" width="16.85546875" customWidth="1"/>
    <col min="7" max="7" width="14.42578125" customWidth="1"/>
    <col min="8" max="8" width="12.5703125" customWidth="1"/>
  </cols>
  <sheetData>
    <row r="1" spans="2:8">
      <c r="B1" s="51"/>
      <c r="C1" s="51"/>
      <c r="D1" s="51"/>
      <c r="E1" s="51"/>
      <c r="F1" s="51"/>
      <c r="G1" s="4"/>
      <c r="H1" s="50"/>
    </row>
    <row r="2" spans="2:8">
      <c r="B2" s="117" t="s">
        <v>152</v>
      </c>
      <c r="C2" s="117"/>
      <c r="D2" s="117"/>
      <c r="E2" s="117"/>
      <c r="F2" s="117"/>
      <c r="G2" s="117"/>
      <c r="H2" s="50"/>
    </row>
    <row r="3" spans="2:8">
      <c r="B3" s="51"/>
      <c r="C3" s="51"/>
      <c r="D3" s="51"/>
      <c r="E3" s="51"/>
      <c r="F3" s="51"/>
      <c r="G3" s="4"/>
      <c r="H3" s="50"/>
    </row>
    <row r="4" spans="2:8">
      <c r="B4" s="4"/>
      <c r="C4" s="4" t="s">
        <v>40</v>
      </c>
      <c r="D4" s="21">
        <v>46290</v>
      </c>
      <c r="E4" s="21">
        <v>46289</v>
      </c>
      <c r="F4" s="21">
        <v>46288</v>
      </c>
      <c r="G4" s="103" t="s">
        <v>143</v>
      </c>
      <c r="H4" s="103" t="s">
        <v>153</v>
      </c>
    </row>
    <row r="5" spans="2:8">
      <c r="B5" s="10"/>
      <c r="H5" s="112"/>
    </row>
    <row r="6" spans="2:8">
      <c r="B6" s="10" t="s">
        <v>154</v>
      </c>
      <c r="C6" s="84" t="s">
        <v>117</v>
      </c>
      <c r="D6" s="58">
        <f>Ratios!D8</f>
        <v>0.46905164107160452</v>
      </c>
      <c r="E6" s="58">
        <f>Ratios!E8</f>
        <v>0.46206349815233932</v>
      </c>
      <c r="F6" s="58">
        <f>Ratios!F8</f>
        <v>0.44131129577207562</v>
      </c>
      <c r="G6" s="101">
        <f>AVERAGE(D6,F6,E6)</f>
        <v>0.45747547833200647</v>
      </c>
      <c r="H6" s="112"/>
    </row>
    <row r="7" spans="2:8">
      <c r="B7" s="10" t="s">
        <v>155</v>
      </c>
      <c r="C7" s="84" t="s">
        <v>117</v>
      </c>
      <c r="D7" s="47">
        <v>0.36799999999999999</v>
      </c>
      <c r="E7" s="47">
        <v>0.372</v>
      </c>
      <c r="F7" s="47">
        <v>0.36499999999999999</v>
      </c>
      <c r="G7" s="101">
        <f t="shared" ref="G7:G10" si="0">AVERAGE(D7,F7,E7)</f>
        <v>0.36833333333333335</v>
      </c>
      <c r="H7" s="112"/>
    </row>
    <row r="8" spans="2:8">
      <c r="B8" s="10" t="s">
        <v>156</v>
      </c>
      <c r="C8" s="84" t="s">
        <v>117</v>
      </c>
      <c r="D8" s="47">
        <v>0.754</v>
      </c>
      <c r="E8" s="47">
        <v>0.73899999999999999</v>
      </c>
      <c r="F8" s="47">
        <v>0.70799999999999996</v>
      </c>
      <c r="G8" s="101">
        <f t="shared" si="0"/>
        <v>0.73366666666666669</v>
      </c>
      <c r="H8" s="112"/>
    </row>
    <row r="9" spans="2:8">
      <c r="B9" s="10" t="s">
        <v>125</v>
      </c>
      <c r="C9" s="84" t="s">
        <v>117</v>
      </c>
      <c r="D9" s="58">
        <f>Ratios!D11</f>
        <v>0.58962997493758429</v>
      </c>
      <c r="E9" s="58">
        <f>Ratios!E11</f>
        <v>0.55412686843888659</v>
      </c>
      <c r="F9" s="58">
        <f>Ratios!F11</f>
        <v>0.5527505642015732</v>
      </c>
      <c r="G9" s="101">
        <f t="shared" si="0"/>
        <v>0.56550246919268143</v>
      </c>
      <c r="H9" s="112"/>
    </row>
    <row r="10" spans="2:8">
      <c r="B10" s="42" t="s">
        <v>157</v>
      </c>
      <c r="C10" s="88" t="s">
        <v>117</v>
      </c>
      <c r="D10" s="73">
        <f>Ratios!D9</f>
        <v>0.26915064121818238</v>
      </c>
      <c r="E10" s="73">
        <f>Ratios!E9</f>
        <v>0.23971255769943867</v>
      </c>
      <c r="F10" s="73">
        <f>Ratios!F9</f>
        <v>0.25306234264320282</v>
      </c>
      <c r="G10" s="114">
        <f t="shared" si="0"/>
        <v>0.25397518052027462</v>
      </c>
      <c r="H10" s="113"/>
    </row>
    <row r="13" spans="2:8">
      <c r="D13" s="37"/>
      <c r="E13" s="37"/>
      <c r="F13" s="37"/>
    </row>
    <row r="14" spans="2:8">
      <c r="D14" s="37"/>
      <c r="E14" s="37"/>
      <c r="F14" s="37"/>
    </row>
  </sheetData>
  <mergeCells count="1">
    <mergeCell ref="B2:G2"/>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C268C241-4DFC-4E04-9A1B-455CE118B693}">
          <x14:colorSeries rgb="FF376092"/>
          <x14:colorNegative rgb="FFD00000"/>
          <x14:colorAxis rgb="FF000000"/>
          <x14:colorMarkers rgb="FFD00000"/>
          <x14:colorFirst rgb="FFD00000"/>
          <x14:colorLast rgb="FFD00000"/>
          <x14:colorHigh rgb="FFD00000"/>
          <x14:colorLow rgb="FFD00000"/>
          <x14:sparklines>
            <x14:sparkline>
              <xm:f>'Profitability Analysis'!D6:F6</xm:f>
              <xm:sqref>H6</xm:sqref>
            </x14:sparkline>
            <x14:sparkline>
              <xm:f>'Profitability Analysis'!D7:F7</xm:f>
              <xm:sqref>H7</xm:sqref>
            </x14:sparkline>
            <x14:sparkline>
              <xm:f>'Profitability Analysis'!D8:F8</xm:f>
              <xm:sqref>H8</xm:sqref>
            </x14:sparkline>
            <x14:sparkline>
              <xm:f>'Profitability Analysis'!D9:F9</xm:f>
              <xm:sqref>H9</xm:sqref>
            </x14:sparkline>
            <x14:sparkline>
              <xm:f>'Profitability Analysis'!D10:F10</xm:f>
              <xm:sqref>H10</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F4BE-DBA5-4468-BDAD-994142EA6C28}">
  <dimension ref="B1:F16"/>
  <sheetViews>
    <sheetView workbookViewId="0">
      <pane xSplit="1" ySplit="4" topLeftCell="B5" activePane="bottomRight" state="frozen"/>
      <selection pane="bottomRight" activeCell="D15" sqref="D15"/>
      <selection pane="bottomLeft" activeCell="A5" sqref="A5"/>
      <selection pane="topRight" activeCell="B1" sqref="B1"/>
    </sheetView>
  </sheetViews>
  <sheetFormatPr defaultRowHeight="14.45"/>
  <cols>
    <col min="1" max="1" width="2.85546875" customWidth="1"/>
    <col min="2" max="2" width="30.28515625" customWidth="1"/>
    <col min="3" max="3" width="5.85546875" customWidth="1"/>
    <col min="4" max="4" width="15.42578125" customWidth="1"/>
    <col min="5" max="5" width="15.140625" customWidth="1"/>
    <col min="6" max="6" width="15.28515625" customWidth="1"/>
  </cols>
  <sheetData>
    <row r="1" spans="2:6">
      <c r="B1" s="51"/>
      <c r="C1" s="51"/>
      <c r="D1" s="51"/>
      <c r="E1" s="51"/>
      <c r="F1" s="51"/>
    </row>
    <row r="2" spans="2:6">
      <c r="B2" s="117" t="s">
        <v>152</v>
      </c>
      <c r="C2" s="118"/>
      <c r="D2" s="118"/>
      <c r="E2" s="118"/>
      <c r="F2" s="118"/>
    </row>
    <row r="3" spans="2:6">
      <c r="B3" s="51"/>
      <c r="C3" s="51"/>
      <c r="D3" s="51"/>
      <c r="E3" s="51"/>
      <c r="F3" s="51"/>
    </row>
    <row r="4" spans="2:6">
      <c r="B4" s="4"/>
      <c r="C4" s="4" t="s">
        <v>40</v>
      </c>
      <c r="D4" s="21">
        <v>46290</v>
      </c>
      <c r="E4" s="21">
        <v>46289</v>
      </c>
      <c r="F4" s="21">
        <v>46288</v>
      </c>
    </row>
    <row r="5" spans="2:6">
      <c r="B5" s="10"/>
      <c r="F5" s="11"/>
    </row>
    <row r="6" spans="2:6">
      <c r="B6" s="10" t="s">
        <v>158</v>
      </c>
      <c r="C6" s="84" t="s">
        <v>43</v>
      </c>
      <c r="D6" s="72">
        <f>'Financial Statements'!D90</f>
        <v>111482</v>
      </c>
      <c r="E6" s="72">
        <f>'Financial Statements'!E90</f>
        <v>118254</v>
      </c>
      <c r="F6" s="23">
        <f>'Financial Statements'!F90</f>
        <v>110543</v>
      </c>
    </row>
    <row r="7" spans="2:6">
      <c r="B7" s="10" t="s">
        <v>159</v>
      </c>
      <c r="C7" s="84" t="s">
        <v>43</v>
      </c>
      <c r="D7" s="72">
        <f>ABS('Financial Statements'!D97)</f>
        <v>12715</v>
      </c>
      <c r="E7" s="72">
        <f>ABS('Financial Statements'!E97)</f>
        <v>9447</v>
      </c>
      <c r="F7" s="23">
        <f>ABS('Financial Statements'!F97)</f>
        <v>10959</v>
      </c>
    </row>
    <row r="8" spans="2:6">
      <c r="B8" s="10" t="s">
        <v>160</v>
      </c>
      <c r="C8" s="84" t="s">
        <v>43</v>
      </c>
      <c r="D8" s="72">
        <f>'Financial Statements'!D116</f>
        <v>35934</v>
      </c>
      <c r="E8" s="72">
        <f>'Financial Statements'!E116</f>
        <v>29943</v>
      </c>
      <c r="F8" s="23">
        <f>'Financial Statements'!F116</f>
        <v>30737</v>
      </c>
    </row>
    <row r="9" spans="2:6">
      <c r="B9" s="10" t="s">
        <v>161</v>
      </c>
      <c r="C9" s="84" t="s">
        <v>43</v>
      </c>
      <c r="D9" s="72">
        <f>ABS('Financial Statements'!D106)</f>
        <v>90711</v>
      </c>
      <c r="E9" s="72">
        <f>ABS('Financial Statements'!E106)</f>
        <v>94949</v>
      </c>
      <c r="F9" s="23">
        <f>ABS('Financial Statements'!F106)</f>
        <v>77550</v>
      </c>
    </row>
    <row r="10" spans="2:6">
      <c r="B10" s="10" t="s">
        <v>162</v>
      </c>
      <c r="C10" s="84" t="s">
        <v>43</v>
      </c>
      <c r="D10" s="72">
        <f>ABS('Financial Statements'!D105)</f>
        <v>15421</v>
      </c>
      <c r="E10" s="72">
        <f>ABS('Financial Statements'!E105)</f>
        <v>15234</v>
      </c>
      <c r="F10" s="23">
        <f>ABS('Financial Statements'!F105)</f>
        <v>15025</v>
      </c>
    </row>
    <row r="11" spans="2:6">
      <c r="B11" s="10"/>
      <c r="F11" s="11"/>
    </row>
    <row r="12" spans="2:6">
      <c r="B12" s="75" t="s">
        <v>163</v>
      </c>
      <c r="C12" s="96" t="s">
        <v>117</v>
      </c>
      <c r="D12" s="74">
        <f>IFERROR(D6/D$6, "")</f>
        <v>1</v>
      </c>
      <c r="E12" s="74">
        <f t="shared" ref="E12:F12" si="0">IFERROR(E6/E$6, "")</f>
        <v>1</v>
      </c>
      <c r="F12" s="76">
        <f t="shared" si="0"/>
        <v>1</v>
      </c>
    </row>
    <row r="13" spans="2:6">
      <c r="B13" s="10" t="str">
        <f>B7</f>
        <v>Capital Expenditure</v>
      </c>
      <c r="C13" s="84" t="s">
        <v>117</v>
      </c>
      <c r="D13" s="47">
        <f t="shared" ref="D13:F13" si="1">IFERROR(D7/D$6, "")</f>
        <v>0.11405428679069267</v>
      </c>
      <c r="E13" s="47">
        <f t="shared" si="1"/>
        <v>7.9887361104064136E-2</v>
      </c>
      <c r="F13" s="115">
        <f t="shared" si="1"/>
        <v>9.9137892042010803E-2</v>
      </c>
    </row>
    <row r="14" spans="2:6">
      <c r="B14" s="10" t="str">
        <f t="shared" ref="B14:B16" si="2">B8</f>
        <v xml:space="preserve">Free Cash Flow </v>
      </c>
      <c r="C14" s="84" t="s">
        <v>117</v>
      </c>
      <c r="D14" s="47">
        <f t="shared" ref="D14:F14" si="3">IFERROR(D8/D$6, "")</f>
        <v>0.32233006225220218</v>
      </c>
      <c r="E14" s="47">
        <f t="shared" si="3"/>
        <v>0.25320919376934398</v>
      </c>
      <c r="F14" s="56">
        <f t="shared" si="3"/>
        <v>0.2780546936486254</v>
      </c>
    </row>
    <row r="15" spans="2:6">
      <c r="B15" s="10" t="str">
        <f t="shared" si="2"/>
        <v xml:space="preserve">Share Repurchase </v>
      </c>
      <c r="C15" s="84" t="s">
        <v>117</v>
      </c>
      <c r="D15" s="47">
        <f t="shared" ref="D15:F15" si="4">IFERROR(D9/D$6, "")</f>
        <v>0.81368292639170448</v>
      </c>
      <c r="E15" s="47">
        <f t="shared" si="4"/>
        <v>0.80292421398007674</v>
      </c>
      <c r="F15" s="56">
        <f t="shared" si="4"/>
        <v>0.70153695846865016</v>
      </c>
    </row>
    <row r="16" spans="2:6">
      <c r="B16" s="42" t="str">
        <f t="shared" si="2"/>
        <v xml:space="preserve">Dividends or dividend equivalents </v>
      </c>
      <c r="C16" s="88" t="s">
        <v>117</v>
      </c>
      <c r="D16" s="48">
        <f t="shared" ref="D16:F16" si="5">IFERROR(D10/D$6, "")</f>
        <v>0.13832726359412281</v>
      </c>
      <c r="E16" s="48">
        <f t="shared" si="5"/>
        <v>0.12882439494647116</v>
      </c>
      <c r="F16" s="77">
        <f t="shared" si="5"/>
        <v>0.13591995874908408</v>
      </c>
    </row>
  </sheetData>
  <mergeCells count="1">
    <mergeCell ref="B2:F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B3B7C-7B6D-4A60-82C7-4AC575677A6B}">
  <dimension ref="B1:F11"/>
  <sheetViews>
    <sheetView workbookViewId="0">
      <selection activeCell="C15" sqref="C15"/>
    </sheetView>
  </sheetViews>
  <sheetFormatPr defaultRowHeight="14.45"/>
  <cols>
    <col min="1" max="1" width="2.140625" customWidth="1"/>
    <col min="2" max="2" width="22.5703125" customWidth="1"/>
    <col min="3" max="3" width="6.140625" customWidth="1"/>
    <col min="4" max="4" width="13.85546875" customWidth="1"/>
    <col min="5" max="5" width="16.140625" customWidth="1"/>
    <col min="6" max="6" width="15.28515625" customWidth="1"/>
  </cols>
  <sheetData>
    <row r="1" spans="2:6">
      <c r="B1" s="51"/>
      <c r="C1" s="51"/>
      <c r="D1" s="51"/>
      <c r="E1" s="51"/>
      <c r="F1" s="51"/>
    </row>
    <row r="2" spans="2:6">
      <c r="B2" s="117" t="s">
        <v>164</v>
      </c>
      <c r="C2" s="118"/>
      <c r="D2" s="118"/>
      <c r="E2" s="118"/>
      <c r="F2" s="118"/>
    </row>
    <row r="3" spans="2:6">
      <c r="B3" s="51"/>
      <c r="C3" s="51"/>
      <c r="D3" s="51"/>
      <c r="E3" s="51"/>
      <c r="F3" s="51"/>
    </row>
    <row r="4" spans="2:6">
      <c r="B4" s="4"/>
      <c r="C4" s="4" t="s">
        <v>40</v>
      </c>
      <c r="D4" s="21">
        <v>46290</v>
      </c>
      <c r="E4" s="21">
        <v>46289</v>
      </c>
      <c r="F4" s="21">
        <v>46288</v>
      </c>
    </row>
    <row r="5" spans="2:6">
      <c r="B5" s="10"/>
      <c r="F5" s="11"/>
    </row>
    <row r="6" spans="2:6">
      <c r="B6" s="10" t="s">
        <v>165</v>
      </c>
      <c r="C6" s="84" t="s">
        <v>117</v>
      </c>
      <c r="D6" s="47">
        <f>'Financial Statements'!D27/AVERAGE('Financial Statements'!D66,'Financial Statements'!E66)</f>
        <v>1.7142244974480232</v>
      </c>
      <c r="F6" s="11"/>
    </row>
    <row r="7" spans="2:6">
      <c r="B7" s="10" t="s">
        <v>128</v>
      </c>
      <c r="C7" s="84" t="s">
        <v>117</v>
      </c>
      <c r="D7" s="58">
        <f>Ratios!D14</f>
        <v>0.68554826713496209</v>
      </c>
      <c r="E7" s="58">
        <f>Ratios!E14</f>
        <v>0.65478715506819096</v>
      </c>
      <c r="F7" s="11"/>
    </row>
    <row r="8" spans="2:6">
      <c r="B8" s="10" t="s">
        <v>166</v>
      </c>
      <c r="C8" s="84" t="s">
        <v>117</v>
      </c>
      <c r="D8" s="58">
        <f>Ratios!D9</f>
        <v>0.26915064121818238</v>
      </c>
      <c r="E8" s="58">
        <f>Ratios!E9</f>
        <v>0.23971255769943867</v>
      </c>
      <c r="F8" s="59">
        <f>Ratios!F9</f>
        <v>0.25306234264320282</v>
      </c>
    </row>
    <row r="9" spans="2:6">
      <c r="B9" s="10" t="s">
        <v>167</v>
      </c>
      <c r="D9" s="95">
        <f>'Financial Statements'!D10/AVERAGE('Financial Statements'!E42,'Financial Statements'!D42)</f>
        <v>8.7141361475804597</v>
      </c>
      <c r="F9" s="11"/>
    </row>
    <row r="10" spans="2:6">
      <c r="B10" s="10" t="s">
        <v>168</v>
      </c>
      <c r="D10" s="95">
        <f>Ratios!D25</f>
        <v>5.0133099209833185</v>
      </c>
      <c r="E10" s="95">
        <f>Ratios!E25</f>
        <v>5.408779631255487</v>
      </c>
      <c r="F10" s="11"/>
    </row>
    <row r="11" spans="2:6">
      <c r="B11" s="42" t="s">
        <v>169</v>
      </c>
      <c r="C11" s="43"/>
      <c r="D11" s="44">
        <v>34.04</v>
      </c>
      <c r="E11" s="44">
        <v>38.04</v>
      </c>
      <c r="F11" s="97">
        <v>27.58</v>
      </c>
    </row>
  </sheetData>
  <mergeCells count="1">
    <mergeCell ref="B2:F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6C18D-3CCE-49E2-ABE7-E616FC0C136B}">
  <dimension ref="B1:D11"/>
  <sheetViews>
    <sheetView tabSelected="1" workbookViewId="0">
      <pane xSplit="1" ySplit="4" topLeftCell="B10" activePane="bottomRight" state="frozen"/>
      <selection pane="bottomRight" activeCell="B1" sqref="B1"/>
      <selection pane="bottomLeft" activeCell="A3" sqref="A3"/>
      <selection pane="topRight" activeCell="B1" sqref="B1"/>
    </sheetView>
  </sheetViews>
  <sheetFormatPr defaultRowHeight="14.45"/>
  <cols>
    <col min="1" max="1" width="2.5703125" customWidth="1"/>
    <col min="2" max="2" width="20.140625" customWidth="1"/>
    <col min="3" max="3" width="52.85546875" customWidth="1"/>
    <col min="4" max="4" width="62" customWidth="1"/>
  </cols>
  <sheetData>
    <row r="1" spans="2:4">
      <c r="B1" s="50"/>
      <c r="C1" s="50"/>
      <c r="D1" s="50"/>
    </row>
    <row r="2" spans="2:4" ht="23.45">
      <c r="B2" s="116" t="s">
        <v>170</v>
      </c>
      <c r="C2" s="116"/>
      <c r="D2" s="116"/>
    </row>
    <row r="3" spans="2:4">
      <c r="B3" s="50"/>
      <c r="C3" s="50"/>
      <c r="D3" s="50"/>
    </row>
    <row r="4" spans="2:4" ht="18.600000000000001">
      <c r="B4" s="99" t="s">
        <v>171</v>
      </c>
      <c r="C4" s="99" t="s">
        <v>172</v>
      </c>
      <c r="D4" s="99" t="s">
        <v>173</v>
      </c>
    </row>
    <row r="6" spans="2:4" ht="72.599999999999994">
      <c r="B6" s="110" t="s">
        <v>174</v>
      </c>
      <c r="C6" s="111" t="s">
        <v>175</v>
      </c>
      <c r="D6" s="111" t="s">
        <v>176</v>
      </c>
    </row>
    <row r="7" spans="2:4" ht="87">
      <c r="B7" s="110" t="s">
        <v>177</v>
      </c>
      <c r="C7" s="111" t="s">
        <v>178</v>
      </c>
      <c r="D7" s="111" t="s">
        <v>179</v>
      </c>
    </row>
    <row r="8" spans="2:4" ht="116.1">
      <c r="B8" s="110" t="s">
        <v>23</v>
      </c>
      <c r="C8" s="111" t="s">
        <v>180</v>
      </c>
      <c r="D8" s="102" t="s">
        <v>181</v>
      </c>
    </row>
    <row r="9" spans="2:4" ht="116.1">
      <c r="B9" s="110" t="s">
        <v>182</v>
      </c>
      <c r="C9" s="111" t="s">
        <v>183</v>
      </c>
      <c r="D9" s="111" t="s">
        <v>184</v>
      </c>
    </row>
    <row r="10" spans="2:4" ht="87">
      <c r="B10" s="110" t="s">
        <v>185</v>
      </c>
      <c r="C10" s="111" t="s">
        <v>186</v>
      </c>
      <c r="D10" s="111" t="s">
        <v>187</v>
      </c>
    </row>
    <row r="11" spans="2:4" ht="43.5">
      <c r="B11" t="s">
        <v>188</v>
      </c>
      <c r="C11" s="111" t="s">
        <v>189</v>
      </c>
      <c r="D11" s="111" t="s">
        <v>190</v>
      </c>
    </row>
  </sheetData>
  <mergeCells count="1">
    <mergeCell ref="B2:D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bc0e33d-f764-4afe-bd96-af6f4f48ee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BFF59041D81B94E83CEDE89E33E8099" ma:contentTypeVersion="11" ma:contentTypeDescription="Create a new document." ma:contentTypeScope="" ma:versionID="73f45f3ab5eb78017c7f62933221c344">
  <xsd:schema xmlns:xsd="http://www.w3.org/2001/XMLSchema" xmlns:xs="http://www.w3.org/2001/XMLSchema" xmlns:p="http://schemas.microsoft.com/office/2006/metadata/properties" xmlns:ns3="6bc0e33d-f764-4afe-bd96-af6f4f48eedd" targetNamespace="http://schemas.microsoft.com/office/2006/metadata/properties" ma:root="true" ma:fieldsID="800a2d6a7d08cb7359e4e0813e3a479b" ns3:_="">
    <xsd:import namespace="6bc0e33d-f764-4afe-bd96-af6f4f48eed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c0e33d-f764-4afe-bd96-af6f4f48eed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9262A4-B33D-4D3C-9D4F-1095DDE4CF2D}"/>
</file>

<file path=customXml/itemProps2.xml><?xml version="1.0" encoding="utf-8"?>
<ds:datastoreItem xmlns:ds="http://schemas.openxmlformats.org/officeDocument/2006/customXml" ds:itemID="{81680068-A492-483C-9CF2-385AEE855C76}"/>
</file>

<file path=customXml/itemProps3.xml><?xml version="1.0" encoding="utf-8"?>
<ds:datastoreItem xmlns:ds="http://schemas.openxmlformats.org/officeDocument/2006/customXml" ds:itemID="{7785DFBE-A95B-48C8-8E6B-3194D3F971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Sharayu Patil</dc:creator>
  <cp:keywords/>
  <dc:description/>
  <cp:lastModifiedBy/>
  <cp:revision/>
  <dcterms:created xsi:type="dcterms:W3CDTF">2026-07-19T17:11:28Z</dcterms:created>
  <dcterms:modified xsi:type="dcterms:W3CDTF">2026-07-31T18:32:21Z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0x010100EBFF59041D81B94E83CEDE89E33E8099</vt:lpwstr>
  </property>
</Properties>
</file>